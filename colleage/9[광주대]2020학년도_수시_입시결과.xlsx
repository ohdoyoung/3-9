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오기현 입학관리\2020학년도\2020학년도 입시결과\"/>
    </mc:Choice>
  </mc:AlternateContent>
  <bookViews>
    <workbookView xWindow="0" yWindow="0" windowWidth="28800" windowHeight="12390"/>
  </bookViews>
  <sheets>
    <sheet name="수시일반" sheetId="1" r:id="rId1"/>
    <sheet name="수시지역학생" sheetId="2" r:id="rId2"/>
    <sheet name="수시수급자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E6" i="3"/>
  <c r="E5" i="3"/>
  <c r="E4" i="3"/>
</calcChain>
</file>

<file path=xl/sharedStrings.xml><?xml version="1.0" encoding="utf-8"?>
<sst xmlns="http://schemas.openxmlformats.org/spreadsheetml/2006/main" count="169" uniqueCount="64">
  <si>
    <t>학부(과)</t>
  </si>
  <si>
    <t>사회복지학부</t>
  </si>
  <si>
    <t>청소년상담평생교육학과</t>
  </si>
  <si>
    <t>유아교육과</t>
  </si>
  <si>
    <t>간호학과</t>
  </si>
  <si>
    <t>작업치료학과</t>
  </si>
  <si>
    <t>언어치료학과</t>
  </si>
  <si>
    <t>심리학과</t>
  </si>
  <si>
    <t>스포츠과학부</t>
  </si>
  <si>
    <t>식품영양학과</t>
  </si>
  <si>
    <t>보건행정학부</t>
  </si>
  <si>
    <t>아동학과</t>
  </si>
  <si>
    <t>경찰법행정학부</t>
  </si>
  <si>
    <t>소방행정학과</t>
  </si>
  <si>
    <t>사이버보안경찰학과</t>
  </si>
  <si>
    <t>한국어교육과</t>
  </si>
  <si>
    <t>문헌정보학과</t>
  </si>
  <si>
    <t>문예창작과</t>
  </si>
  <si>
    <t>경영학과</t>
  </si>
  <si>
    <t>세무경영학과</t>
  </si>
  <si>
    <t>국제물류무역학과</t>
  </si>
  <si>
    <t>부동산금융학과</t>
  </si>
  <si>
    <t>호텔관광경영학부</t>
  </si>
  <si>
    <t>항공서비스학과</t>
  </si>
  <si>
    <t>호텔외식조리학과</t>
  </si>
  <si>
    <t>컴퓨터공학과</t>
  </si>
  <si>
    <t>융합소프트웨어학과</t>
  </si>
  <si>
    <t>전기전자공학부</t>
  </si>
  <si>
    <t>토목공학과</t>
  </si>
  <si>
    <t>건축학부</t>
  </si>
  <si>
    <t>도시계획부동산학과</t>
  </si>
  <si>
    <t>국방기술학부</t>
  </si>
  <si>
    <t>식품생명공학과</t>
  </si>
  <si>
    <t>IT자동차학과</t>
  </si>
  <si>
    <t>기계금형공학부</t>
  </si>
  <si>
    <t>융합디자인학부</t>
  </si>
  <si>
    <t>인테리어디자인학과</t>
  </si>
  <si>
    <t>뷰티미용학과</t>
  </si>
  <si>
    <t>사진영상드론학과</t>
  </si>
  <si>
    <t>모집</t>
    <phoneticPr fontId="1" type="noConversion"/>
  </si>
  <si>
    <t>지원</t>
    <phoneticPr fontId="1" type="noConversion"/>
  </si>
  <si>
    <t>경쟁률</t>
    <phoneticPr fontId="1" type="noConversion"/>
  </si>
  <si>
    <t>대학</t>
    <phoneticPr fontId="1" type="noConversion"/>
  </si>
  <si>
    <t>최종등록자 학생부 등급</t>
    <phoneticPr fontId="1" type="noConversion"/>
  </si>
  <si>
    <t>평균</t>
    <phoneticPr fontId="1" type="noConversion"/>
  </si>
  <si>
    <t>충원합격
최종번호</t>
    <phoneticPr fontId="1" type="noConversion"/>
  </si>
  <si>
    <t>선발
방식</t>
    <phoneticPr fontId="1" type="noConversion"/>
  </si>
  <si>
    <t>그룹
선발</t>
    <phoneticPr fontId="1" type="noConversion"/>
  </si>
  <si>
    <t>학과
선발</t>
    <phoneticPr fontId="1" type="noConversion"/>
  </si>
  <si>
    <t>패션주얼리학부</t>
  </si>
  <si>
    <t>보건
복지</t>
    <phoneticPr fontId="1" type="noConversion"/>
  </si>
  <si>
    <t>문화
산업</t>
    <phoneticPr fontId="1" type="noConversion"/>
  </si>
  <si>
    <t>인문
사회
과학</t>
    <phoneticPr fontId="1" type="noConversion"/>
  </si>
  <si>
    <t>공과</t>
    <phoneticPr fontId="1" type="noConversion"/>
  </si>
  <si>
    <t>패션주얼리디자인학부</t>
    <phoneticPr fontId="1" type="noConversion"/>
  </si>
  <si>
    <t>물류무역학과</t>
    <phoneticPr fontId="1" type="noConversion"/>
  </si>
  <si>
    <t>미래자동차공학과</t>
    <phoneticPr fontId="1" type="noConversion"/>
  </si>
  <si>
    <t>융합기계공학과</t>
    <phoneticPr fontId="1" type="noConversion"/>
  </si>
  <si>
    <t>패션주얼리학부</t>
    <phoneticPr fontId="1" type="noConversion"/>
  </si>
  <si>
    <t>패션주얼리학부</t>
    <phoneticPr fontId="1" type="noConversion"/>
  </si>
  <si>
    <t>2020학년도 수시 수급자/차상위/한부모가정</t>
    <phoneticPr fontId="1" type="noConversion"/>
  </si>
  <si>
    <t>2020학년도 수시 일반학생</t>
    <phoneticPr fontId="1" type="noConversion"/>
  </si>
  <si>
    <t>2020학년도 수시 지역학생</t>
    <phoneticPr fontId="1" type="noConversion"/>
  </si>
  <si>
    <t>2021학년도
학부(과) 명칭변경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</si>
</sst>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76" formatCode="_-* #,##0.0_-;\-* #,##0.0_-;_-* &quot;-&quot;?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5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9" fontId="3" fillId="2" borderId="8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43" fontId="2" fillId="3" borderId="4" xfId="0" applyNumberFormat="1" applyFont="1" applyFill="1" applyBorder="1" applyAlignment="1">
      <alignment horizontal="center" vertical="center" wrapText="1"/>
    </xf>
    <xf numFmtId="43" fontId="2" fillId="3" borderId="8" xfId="0" applyNumberFormat="1" applyFont="1" applyFill="1" applyBorder="1" applyAlignment="1">
      <alignment horizontal="center" vertical="center" wrapText="1"/>
    </xf>
    <xf numFmtId="43" fontId="2" fillId="3" borderId="6" xfId="0" applyNumberFormat="1" applyFont="1" applyFill="1" applyBorder="1" applyAlignment="1">
      <alignment horizontal="center" vertical="center" wrapText="1"/>
    </xf>
    <xf numFmtId="43" fontId="2" fillId="3" borderId="9" xfId="0" applyNumberFormat="1" applyFont="1" applyFill="1" applyBorder="1" applyAlignment="1">
      <alignment horizontal="center" vertical="center" wrapText="1"/>
    </xf>
    <xf numFmtId="43" fontId="2" fillId="0" borderId="4" xfId="0" applyNumberFormat="1" applyFont="1" applyBorder="1">
      <alignment vertical="center"/>
    </xf>
    <xf numFmtId="43" fontId="2" fillId="0" borderId="8" xfId="0" applyNumberFormat="1" applyFont="1" applyBorder="1">
      <alignment vertical="center"/>
    </xf>
    <xf numFmtId="41" fontId="2" fillId="0" borderId="4" xfId="0" applyNumberFormat="1" applyFont="1" applyBorder="1" applyAlignment="1">
      <alignment horizontal="left" vertical="center" wrapText="1"/>
    </xf>
    <xf numFmtId="41" fontId="2" fillId="0" borderId="6" xfId="0" applyNumberFormat="1" applyFont="1" applyBorder="1" applyAlignment="1">
      <alignment horizontal="left" vertical="center" wrapText="1"/>
    </xf>
    <xf numFmtId="176" fontId="2" fillId="0" borderId="4" xfId="0" applyNumberFormat="1" applyFont="1" applyBorder="1" applyAlignment="1">
      <alignment horizontal="left" vertical="center" wrapText="1"/>
    </xf>
    <xf numFmtId="176" fontId="2" fillId="0" borderId="6" xfId="0" applyNumberFormat="1" applyFont="1" applyBorder="1" applyAlignment="1">
      <alignment horizontal="left" vertical="center" wrapText="1"/>
    </xf>
    <xf numFmtId="43" fontId="2" fillId="0" borderId="4" xfId="0" applyNumberFormat="1" applyFont="1" applyBorder="1" applyAlignment="1">
      <alignment horizontal="left" vertical="center" wrapText="1"/>
    </xf>
    <xf numFmtId="43" fontId="2" fillId="0" borderId="8" xfId="0" applyNumberFormat="1" applyFont="1" applyBorder="1" applyAlignment="1">
      <alignment horizontal="left" vertical="center" wrapText="1"/>
    </xf>
    <xf numFmtId="41" fontId="0" fillId="0" borderId="0" xfId="0" applyNumberFormat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41" fontId="2" fillId="0" borderId="4" xfId="0" applyNumberFormat="1" applyFont="1" applyBorder="1" applyAlignment="1">
      <alignment horizontal="center" vertical="center" wrapText="1"/>
    </xf>
    <xf numFmtId="41" fontId="2" fillId="0" borderId="6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 wrapText="1"/>
    </xf>
    <xf numFmtId="43" fontId="2" fillId="0" borderId="8" xfId="0" applyNumberFormat="1" applyFont="1" applyBorder="1" applyAlignment="1">
      <alignment horizontal="center" vertical="center" wrapText="1"/>
    </xf>
    <xf numFmtId="43" fontId="2" fillId="0" borderId="9" xfId="0" applyNumberFormat="1" applyFont="1" applyBorder="1" applyAlignment="1">
      <alignment horizontal="center" vertical="center" wrapText="1"/>
    </xf>
    <xf numFmtId="43" fontId="2" fillId="0" borderId="4" xfId="0" applyNumberFormat="1" applyFont="1" applyBorder="1" applyAlignment="1">
      <alignment horizontal="center" vertical="center" wrapText="1"/>
    </xf>
    <xf numFmtId="43" fontId="2" fillId="0" borderId="6" xfId="0" applyNumberFormat="1" applyFont="1" applyBorder="1" applyAlignment="1">
      <alignment horizontal="center"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2" sqref="C12"/>
    </sheetView>
  </sheetViews>
  <sheetFormatPr defaultRowHeight="16.5" x14ac:dyDescent="0.3"/>
  <cols>
    <col min="1" max="1" width="5.5" bestFit="1" customWidth="1"/>
    <col min="2" max="2" width="23.5" style="1" bestFit="1" customWidth="1"/>
    <col min="3" max="5" width="7.625" style="1" customWidth="1"/>
    <col min="6" max="6" width="9.25" style="1" bestFit="1" customWidth="1"/>
    <col min="7" max="8" width="9.25" style="1" customWidth="1"/>
    <col min="9" max="9" width="18.625" style="4" bestFit="1" customWidth="1"/>
  </cols>
  <sheetData>
    <row r="1" spans="1:10" ht="17.25" x14ac:dyDescent="0.3">
      <c r="A1" s="30" t="s">
        <v>61</v>
      </c>
      <c r="B1" s="30"/>
      <c r="C1" s="30"/>
      <c r="D1" s="30"/>
      <c r="E1" s="30"/>
      <c r="F1" s="30"/>
      <c r="G1" s="30"/>
      <c r="H1" s="30"/>
      <c r="I1" s="30"/>
    </row>
    <row r="2" spans="1:10" x14ac:dyDescent="0.3">
      <c r="A2" s="36" t="s">
        <v>42</v>
      </c>
      <c r="B2" s="33" t="s">
        <v>0</v>
      </c>
      <c r="C2" s="33" t="s">
        <v>39</v>
      </c>
      <c r="D2" s="33" t="s">
        <v>40</v>
      </c>
      <c r="E2" s="33" t="s">
        <v>41</v>
      </c>
      <c r="F2" s="33" t="s">
        <v>45</v>
      </c>
      <c r="G2" s="33" t="s">
        <v>43</v>
      </c>
      <c r="H2" s="35"/>
      <c r="I2" s="38" t="s">
        <v>63</v>
      </c>
    </row>
    <row r="3" spans="1:10" x14ac:dyDescent="0.3">
      <c r="A3" s="37"/>
      <c r="B3" s="34"/>
      <c r="C3" s="34"/>
      <c r="D3" s="34"/>
      <c r="E3" s="34"/>
      <c r="F3" s="34"/>
      <c r="G3" s="22" t="s">
        <v>44</v>
      </c>
      <c r="H3" s="5">
        <v>0.8</v>
      </c>
      <c r="I3" s="39"/>
    </row>
    <row r="4" spans="1:10" x14ac:dyDescent="0.3">
      <c r="A4" s="31" t="s">
        <v>50</v>
      </c>
      <c r="B4" s="2" t="s">
        <v>4</v>
      </c>
      <c r="C4" s="13">
        <v>128</v>
      </c>
      <c r="D4" s="13">
        <v>1268</v>
      </c>
      <c r="E4" s="15">
        <v>9.91</v>
      </c>
      <c r="F4" s="13">
        <v>194</v>
      </c>
      <c r="G4" s="7">
        <v>4.0199999999999996</v>
      </c>
      <c r="H4" s="8">
        <v>4.38</v>
      </c>
      <c r="I4" s="27"/>
      <c r="J4" s="21"/>
    </row>
    <row r="5" spans="1:10" x14ac:dyDescent="0.3">
      <c r="A5" s="31"/>
      <c r="B5" s="2" t="s">
        <v>5</v>
      </c>
      <c r="C5" s="13">
        <v>33</v>
      </c>
      <c r="D5" s="13">
        <v>178</v>
      </c>
      <c r="E5" s="15">
        <v>5.39</v>
      </c>
      <c r="F5" s="13">
        <v>77</v>
      </c>
      <c r="G5" s="7">
        <v>5.53</v>
      </c>
      <c r="H5" s="8">
        <v>5.85</v>
      </c>
      <c r="I5" s="27"/>
      <c r="J5" s="21"/>
    </row>
    <row r="6" spans="1:10" x14ac:dyDescent="0.3">
      <c r="A6" s="31"/>
      <c r="B6" s="2" t="s">
        <v>1</v>
      </c>
      <c r="C6" s="13">
        <v>55</v>
      </c>
      <c r="D6" s="13">
        <v>243</v>
      </c>
      <c r="E6" s="15">
        <v>4.42</v>
      </c>
      <c r="F6" s="13">
        <v>92</v>
      </c>
      <c r="G6" s="7">
        <v>5.46</v>
      </c>
      <c r="H6" s="8">
        <v>6.04</v>
      </c>
      <c r="I6" s="27"/>
      <c r="J6" s="21"/>
    </row>
    <row r="7" spans="1:10" x14ac:dyDescent="0.3">
      <c r="A7" s="31"/>
      <c r="B7" s="2" t="s">
        <v>6</v>
      </c>
      <c r="C7" s="13">
        <v>18</v>
      </c>
      <c r="D7" s="13">
        <v>86</v>
      </c>
      <c r="E7" s="15">
        <v>4.78</v>
      </c>
      <c r="F7" s="13">
        <v>61</v>
      </c>
      <c r="G7" s="7">
        <v>6.24</v>
      </c>
      <c r="H7" s="8">
        <v>6.91</v>
      </c>
      <c r="I7" s="27"/>
      <c r="J7" s="21"/>
    </row>
    <row r="8" spans="1:10" x14ac:dyDescent="0.3">
      <c r="A8" s="31"/>
      <c r="B8" s="2" t="s">
        <v>9</v>
      </c>
      <c r="C8" s="13">
        <v>21</v>
      </c>
      <c r="D8" s="13">
        <v>94</v>
      </c>
      <c r="E8" s="15">
        <v>4.4800000000000004</v>
      </c>
      <c r="F8" s="13">
        <v>50</v>
      </c>
      <c r="G8" s="7">
        <v>5.98</v>
      </c>
      <c r="H8" s="8">
        <v>6.94</v>
      </c>
      <c r="I8" s="27"/>
      <c r="J8" s="21"/>
    </row>
    <row r="9" spans="1:10" x14ac:dyDescent="0.3">
      <c r="A9" s="31"/>
      <c r="B9" s="2" t="s">
        <v>10</v>
      </c>
      <c r="C9" s="13">
        <v>29</v>
      </c>
      <c r="D9" s="13">
        <v>171</v>
      </c>
      <c r="E9" s="15">
        <v>5.9</v>
      </c>
      <c r="F9" s="13">
        <v>51</v>
      </c>
      <c r="G9" s="7">
        <v>5.3</v>
      </c>
      <c r="H9" s="8">
        <v>5.81</v>
      </c>
      <c r="I9" s="27"/>
      <c r="J9" s="21"/>
    </row>
    <row r="10" spans="1:10" x14ac:dyDescent="0.3">
      <c r="A10" s="31" t="s">
        <v>51</v>
      </c>
      <c r="B10" s="2" t="s">
        <v>8</v>
      </c>
      <c r="C10" s="13">
        <v>31</v>
      </c>
      <c r="D10" s="13">
        <v>175</v>
      </c>
      <c r="E10" s="15">
        <v>5.65</v>
      </c>
      <c r="F10" s="13">
        <v>25</v>
      </c>
      <c r="G10" s="7">
        <v>5.44</v>
      </c>
      <c r="H10" s="8">
        <v>6.24</v>
      </c>
      <c r="I10" s="27"/>
      <c r="J10" s="21"/>
    </row>
    <row r="11" spans="1:10" x14ac:dyDescent="0.3">
      <c r="A11" s="31"/>
      <c r="B11" s="2" t="s">
        <v>35</v>
      </c>
      <c r="C11" s="13">
        <v>24</v>
      </c>
      <c r="D11" s="13">
        <v>92</v>
      </c>
      <c r="E11" s="15">
        <v>3.83</v>
      </c>
      <c r="F11" s="13">
        <v>44</v>
      </c>
      <c r="G11" s="7">
        <v>5.97</v>
      </c>
      <c r="H11" s="8">
        <v>6.58</v>
      </c>
      <c r="I11" s="27"/>
      <c r="J11" s="21"/>
    </row>
    <row r="12" spans="1:10" x14ac:dyDescent="0.3">
      <c r="A12" s="31"/>
      <c r="B12" s="2" t="s">
        <v>36</v>
      </c>
      <c r="C12" s="13">
        <v>18</v>
      </c>
      <c r="D12" s="13">
        <v>82</v>
      </c>
      <c r="E12" s="15">
        <v>4.5599999999999996</v>
      </c>
      <c r="F12" s="13">
        <v>34</v>
      </c>
      <c r="G12" s="7">
        <v>5.19</v>
      </c>
      <c r="H12" s="8">
        <v>5.95</v>
      </c>
      <c r="I12" s="27"/>
      <c r="J12" s="21"/>
    </row>
    <row r="13" spans="1:10" x14ac:dyDescent="0.3">
      <c r="A13" s="31"/>
      <c r="B13" s="2" t="s">
        <v>49</v>
      </c>
      <c r="C13" s="13">
        <v>24</v>
      </c>
      <c r="D13" s="13">
        <v>111</v>
      </c>
      <c r="E13" s="15">
        <v>4.63</v>
      </c>
      <c r="F13" s="13">
        <v>28</v>
      </c>
      <c r="G13" s="7">
        <v>6.57</v>
      </c>
      <c r="H13" s="8">
        <v>7.08</v>
      </c>
      <c r="I13" s="27" t="s">
        <v>54</v>
      </c>
      <c r="J13" s="21"/>
    </row>
    <row r="14" spans="1:10" x14ac:dyDescent="0.3">
      <c r="A14" s="31"/>
      <c r="B14" s="2" t="s">
        <v>37</v>
      </c>
      <c r="C14" s="13">
        <v>28</v>
      </c>
      <c r="D14" s="13">
        <v>247</v>
      </c>
      <c r="E14" s="15">
        <v>8.82</v>
      </c>
      <c r="F14" s="13">
        <v>55</v>
      </c>
      <c r="G14" s="7">
        <v>5.09</v>
      </c>
      <c r="H14" s="8">
        <v>6.05</v>
      </c>
      <c r="I14" s="27"/>
      <c r="J14" s="21"/>
    </row>
    <row r="15" spans="1:10" x14ac:dyDescent="0.3">
      <c r="A15" s="31"/>
      <c r="B15" s="2" t="s">
        <v>38</v>
      </c>
      <c r="C15" s="13">
        <v>20</v>
      </c>
      <c r="D15" s="13">
        <v>82</v>
      </c>
      <c r="E15" s="15">
        <v>4.0999999999999996</v>
      </c>
      <c r="F15" s="13">
        <v>43</v>
      </c>
      <c r="G15" s="7">
        <v>5.73</v>
      </c>
      <c r="H15" s="8">
        <v>6.55</v>
      </c>
      <c r="I15" s="27"/>
      <c r="J15" s="21"/>
    </row>
    <row r="16" spans="1:10" x14ac:dyDescent="0.3">
      <c r="A16" s="31"/>
      <c r="B16" s="2" t="s">
        <v>17</v>
      </c>
      <c r="C16" s="13">
        <v>23</v>
      </c>
      <c r="D16" s="13">
        <v>87</v>
      </c>
      <c r="E16" s="15">
        <v>3.78</v>
      </c>
      <c r="F16" s="13">
        <v>51</v>
      </c>
      <c r="G16" s="7">
        <v>5.1100000000000003</v>
      </c>
      <c r="H16" s="8">
        <v>6.26</v>
      </c>
      <c r="I16" s="27"/>
      <c r="J16" s="21"/>
    </row>
    <row r="17" spans="1:10" x14ac:dyDescent="0.3">
      <c r="A17" s="31"/>
      <c r="B17" s="2" t="s">
        <v>22</v>
      </c>
      <c r="C17" s="13">
        <v>30</v>
      </c>
      <c r="D17" s="13">
        <v>160</v>
      </c>
      <c r="E17" s="15">
        <v>5.33</v>
      </c>
      <c r="F17" s="13">
        <v>77</v>
      </c>
      <c r="G17" s="7">
        <v>5.49</v>
      </c>
      <c r="H17" s="8">
        <v>6.23</v>
      </c>
      <c r="I17" s="27"/>
      <c r="J17" s="21"/>
    </row>
    <row r="18" spans="1:10" x14ac:dyDescent="0.3">
      <c r="A18" s="31"/>
      <c r="B18" s="2" t="s">
        <v>23</v>
      </c>
      <c r="C18" s="13">
        <v>32</v>
      </c>
      <c r="D18" s="13">
        <v>124</v>
      </c>
      <c r="E18" s="15">
        <v>3.88</v>
      </c>
      <c r="F18" s="13">
        <v>60</v>
      </c>
      <c r="G18" s="7">
        <v>6.07</v>
      </c>
      <c r="H18" s="8">
        <v>6.81</v>
      </c>
      <c r="I18" s="27"/>
      <c r="J18" s="21"/>
    </row>
    <row r="19" spans="1:10" x14ac:dyDescent="0.3">
      <c r="A19" s="31"/>
      <c r="B19" s="2" t="s">
        <v>24</v>
      </c>
      <c r="C19" s="13">
        <v>24</v>
      </c>
      <c r="D19" s="13">
        <v>136</v>
      </c>
      <c r="E19" s="15">
        <v>5.67</v>
      </c>
      <c r="F19" s="13">
        <v>62</v>
      </c>
      <c r="G19" s="7">
        <v>6.01</v>
      </c>
      <c r="H19" s="8">
        <v>6.55</v>
      </c>
      <c r="I19" s="27"/>
      <c r="J19" s="21"/>
    </row>
    <row r="20" spans="1:10" x14ac:dyDescent="0.3">
      <c r="A20" s="31" t="s">
        <v>52</v>
      </c>
      <c r="B20" s="2" t="s">
        <v>3</v>
      </c>
      <c r="C20" s="13">
        <v>44</v>
      </c>
      <c r="D20" s="13">
        <v>253</v>
      </c>
      <c r="E20" s="15">
        <v>5.75</v>
      </c>
      <c r="F20" s="13">
        <v>47</v>
      </c>
      <c r="G20" s="7">
        <v>4.25</v>
      </c>
      <c r="H20" s="8">
        <v>4.6399999999999997</v>
      </c>
      <c r="I20" s="27"/>
      <c r="J20" s="21"/>
    </row>
    <row r="21" spans="1:10" x14ac:dyDescent="0.3">
      <c r="A21" s="31"/>
      <c r="B21" s="2" t="s">
        <v>2</v>
      </c>
      <c r="C21" s="13">
        <v>18</v>
      </c>
      <c r="D21" s="13">
        <v>113</v>
      </c>
      <c r="E21" s="15">
        <v>6.28</v>
      </c>
      <c r="F21" s="13">
        <v>26</v>
      </c>
      <c r="G21" s="7">
        <v>5.66</v>
      </c>
      <c r="H21" s="8">
        <v>6.21</v>
      </c>
      <c r="I21" s="27"/>
      <c r="J21" s="21"/>
    </row>
    <row r="22" spans="1:10" x14ac:dyDescent="0.3">
      <c r="A22" s="31"/>
      <c r="B22" s="2" t="s">
        <v>11</v>
      </c>
      <c r="C22" s="13">
        <v>21</v>
      </c>
      <c r="D22" s="13">
        <v>88</v>
      </c>
      <c r="E22" s="15">
        <v>4.1900000000000004</v>
      </c>
      <c r="F22" s="13">
        <v>42</v>
      </c>
      <c r="G22" s="7">
        <v>6.01</v>
      </c>
      <c r="H22" s="8">
        <v>6.5</v>
      </c>
      <c r="I22" s="27"/>
      <c r="J22" s="21"/>
    </row>
    <row r="23" spans="1:10" x14ac:dyDescent="0.3">
      <c r="A23" s="31"/>
      <c r="B23" s="2" t="s">
        <v>15</v>
      </c>
      <c r="C23" s="13">
        <v>6</v>
      </c>
      <c r="D23" s="13">
        <v>11</v>
      </c>
      <c r="E23" s="15">
        <v>1.83</v>
      </c>
      <c r="F23" s="13">
        <v>3</v>
      </c>
      <c r="G23" s="7">
        <v>6.67</v>
      </c>
      <c r="H23" s="8">
        <v>7.95</v>
      </c>
      <c r="I23" s="27"/>
      <c r="J23" s="21"/>
    </row>
    <row r="24" spans="1:10" x14ac:dyDescent="0.3">
      <c r="A24" s="31"/>
      <c r="B24" s="2" t="s">
        <v>7</v>
      </c>
      <c r="C24" s="13">
        <v>18</v>
      </c>
      <c r="D24" s="13">
        <v>76</v>
      </c>
      <c r="E24" s="15">
        <v>4.22</v>
      </c>
      <c r="F24" s="13">
        <v>26</v>
      </c>
      <c r="G24" s="7">
        <v>4.5999999999999996</v>
      </c>
      <c r="H24" s="8">
        <v>5.29</v>
      </c>
      <c r="I24" s="27"/>
      <c r="J24" s="21"/>
    </row>
    <row r="25" spans="1:10" x14ac:dyDescent="0.3">
      <c r="A25" s="31"/>
      <c r="B25" s="2" t="s">
        <v>12</v>
      </c>
      <c r="C25" s="13">
        <v>33</v>
      </c>
      <c r="D25" s="13">
        <v>214</v>
      </c>
      <c r="E25" s="15">
        <v>6.48</v>
      </c>
      <c r="F25" s="13">
        <v>97</v>
      </c>
      <c r="G25" s="7">
        <v>4.8099999999999996</v>
      </c>
      <c r="H25" s="8">
        <v>5.28</v>
      </c>
      <c r="I25" s="27"/>
      <c r="J25" s="21"/>
    </row>
    <row r="26" spans="1:10" x14ac:dyDescent="0.3">
      <c r="A26" s="31"/>
      <c r="B26" s="2" t="s">
        <v>13</v>
      </c>
      <c r="C26" s="13">
        <v>21</v>
      </c>
      <c r="D26" s="13">
        <v>192</v>
      </c>
      <c r="E26" s="15">
        <v>9.14</v>
      </c>
      <c r="F26" s="13">
        <v>34</v>
      </c>
      <c r="G26" s="7">
        <v>4.9800000000000004</v>
      </c>
      <c r="H26" s="8">
        <v>5.43</v>
      </c>
      <c r="I26" s="27"/>
      <c r="J26" s="21"/>
    </row>
    <row r="27" spans="1:10" x14ac:dyDescent="0.3">
      <c r="A27" s="31"/>
      <c r="B27" s="2" t="s">
        <v>14</v>
      </c>
      <c r="C27" s="13">
        <v>21</v>
      </c>
      <c r="D27" s="13">
        <v>73</v>
      </c>
      <c r="E27" s="15">
        <v>3.48</v>
      </c>
      <c r="F27" s="13">
        <v>46</v>
      </c>
      <c r="G27" s="7">
        <v>5.9</v>
      </c>
      <c r="H27" s="8">
        <v>6.86</v>
      </c>
      <c r="I27" s="27"/>
      <c r="J27" s="21"/>
    </row>
    <row r="28" spans="1:10" x14ac:dyDescent="0.3">
      <c r="A28" s="31"/>
      <c r="B28" s="2" t="s">
        <v>16</v>
      </c>
      <c r="C28" s="13">
        <v>18</v>
      </c>
      <c r="D28" s="13">
        <v>92</v>
      </c>
      <c r="E28" s="15">
        <v>5.1100000000000003</v>
      </c>
      <c r="F28" s="13">
        <v>34</v>
      </c>
      <c r="G28" s="7">
        <v>4.92</v>
      </c>
      <c r="H28" s="8">
        <v>5.48</v>
      </c>
      <c r="I28" s="27"/>
      <c r="J28" s="21"/>
    </row>
    <row r="29" spans="1:10" x14ac:dyDescent="0.3">
      <c r="A29" s="31"/>
      <c r="B29" s="2" t="s">
        <v>18</v>
      </c>
      <c r="C29" s="13">
        <v>22</v>
      </c>
      <c r="D29" s="13">
        <v>112</v>
      </c>
      <c r="E29" s="15">
        <v>5.09</v>
      </c>
      <c r="F29" s="13">
        <v>71</v>
      </c>
      <c r="G29" s="7">
        <v>6.43</v>
      </c>
      <c r="H29" s="8">
        <v>7.04</v>
      </c>
      <c r="I29" s="27"/>
      <c r="J29" s="21"/>
    </row>
    <row r="30" spans="1:10" x14ac:dyDescent="0.3">
      <c r="A30" s="31"/>
      <c r="B30" s="2" t="s">
        <v>19</v>
      </c>
      <c r="C30" s="13">
        <v>18</v>
      </c>
      <c r="D30" s="13">
        <v>60</v>
      </c>
      <c r="E30" s="15">
        <v>3.33</v>
      </c>
      <c r="F30" s="13">
        <v>15</v>
      </c>
      <c r="G30" s="7">
        <v>6.09</v>
      </c>
      <c r="H30" s="8">
        <v>6.63</v>
      </c>
      <c r="I30" s="27"/>
      <c r="J30" s="21"/>
    </row>
    <row r="31" spans="1:10" x14ac:dyDescent="0.3">
      <c r="A31" s="31"/>
      <c r="B31" s="2" t="s">
        <v>20</v>
      </c>
      <c r="C31" s="13">
        <v>18</v>
      </c>
      <c r="D31" s="13">
        <v>54</v>
      </c>
      <c r="E31" s="15">
        <v>3</v>
      </c>
      <c r="F31" s="13">
        <v>31</v>
      </c>
      <c r="G31" s="7">
        <v>6.84</v>
      </c>
      <c r="H31" s="8">
        <v>7.83</v>
      </c>
      <c r="I31" s="27" t="s">
        <v>55</v>
      </c>
      <c r="J31" s="21"/>
    </row>
    <row r="32" spans="1:10" x14ac:dyDescent="0.3">
      <c r="A32" s="31"/>
      <c r="B32" s="2" t="s">
        <v>21</v>
      </c>
      <c r="C32" s="13">
        <v>18</v>
      </c>
      <c r="D32" s="13">
        <v>52</v>
      </c>
      <c r="E32" s="15">
        <v>2.89</v>
      </c>
      <c r="F32" s="13">
        <v>20</v>
      </c>
      <c r="G32" s="7">
        <v>6.12</v>
      </c>
      <c r="H32" s="8">
        <v>6.84</v>
      </c>
      <c r="I32" s="27"/>
      <c r="J32" s="21"/>
    </row>
    <row r="33" spans="1:10" x14ac:dyDescent="0.3">
      <c r="A33" s="31" t="s">
        <v>53</v>
      </c>
      <c r="B33" s="2" t="s">
        <v>29</v>
      </c>
      <c r="C33" s="13">
        <v>30</v>
      </c>
      <c r="D33" s="13">
        <v>115</v>
      </c>
      <c r="E33" s="15">
        <v>3.83</v>
      </c>
      <c r="F33" s="13">
        <v>52</v>
      </c>
      <c r="G33" s="7">
        <v>5.81</v>
      </c>
      <c r="H33" s="8">
        <v>6.55</v>
      </c>
      <c r="I33" s="27"/>
      <c r="J33" s="21"/>
    </row>
    <row r="34" spans="1:10" x14ac:dyDescent="0.3">
      <c r="A34" s="31"/>
      <c r="B34" s="2" t="s">
        <v>25</v>
      </c>
      <c r="C34" s="13">
        <v>21</v>
      </c>
      <c r="D34" s="13">
        <v>75</v>
      </c>
      <c r="E34" s="15">
        <v>3.57</v>
      </c>
      <c r="F34" s="13">
        <v>46</v>
      </c>
      <c r="G34" s="7">
        <v>6.38</v>
      </c>
      <c r="H34" s="8">
        <v>7.48</v>
      </c>
      <c r="I34" s="27"/>
      <c r="J34" s="21"/>
    </row>
    <row r="35" spans="1:10" x14ac:dyDescent="0.3">
      <c r="A35" s="31"/>
      <c r="B35" s="2" t="s">
        <v>26</v>
      </c>
      <c r="C35" s="13">
        <v>18</v>
      </c>
      <c r="D35" s="13">
        <v>53</v>
      </c>
      <c r="E35" s="15">
        <v>2.94</v>
      </c>
      <c r="F35" s="13">
        <v>30</v>
      </c>
      <c r="G35" s="7">
        <v>6.55</v>
      </c>
      <c r="H35" s="8">
        <v>7.26</v>
      </c>
      <c r="I35" s="27"/>
      <c r="J35" s="21"/>
    </row>
    <row r="36" spans="1:10" x14ac:dyDescent="0.3">
      <c r="A36" s="31"/>
      <c r="B36" s="2" t="s">
        <v>27</v>
      </c>
      <c r="C36" s="13">
        <v>35</v>
      </c>
      <c r="D36" s="13">
        <v>180</v>
      </c>
      <c r="E36" s="15">
        <v>5.14</v>
      </c>
      <c r="F36" s="13">
        <v>107</v>
      </c>
      <c r="G36" s="7">
        <v>5.9</v>
      </c>
      <c r="H36" s="8">
        <v>6.39</v>
      </c>
      <c r="I36" s="27"/>
      <c r="J36" s="21"/>
    </row>
    <row r="37" spans="1:10" x14ac:dyDescent="0.3">
      <c r="A37" s="31"/>
      <c r="B37" s="2" t="s">
        <v>28</v>
      </c>
      <c r="C37" s="13">
        <v>18</v>
      </c>
      <c r="D37" s="13">
        <v>81</v>
      </c>
      <c r="E37" s="15">
        <v>4.5</v>
      </c>
      <c r="F37" s="13">
        <v>53</v>
      </c>
      <c r="G37" s="7">
        <v>6.31</v>
      </c>
      <c r="H37" s="8">
        <v>6.95</v>
      </c>
      <c r="I37" s="27"/>
      <c r="J37" s="21"/>
    </row>
    <row r="38" spans="1:10" x14ac:dyDescent="0.3">
      <c r="A38" s="31"/>
      <c r="B38" s="2" t="s">
        <v>30</v>
      </c>
      <c r="C38" s="13">
        <v>18</v>
      </c>
      <c r="D38" s="13">
        <v>53</v>
      </c>
      <c r="E38" s="15">
        <v>2.94</v>
      </c>
      <c r="F38" s="13">
        <v>25</v>
      </c>
      <c r="G38" s="7">
        <v>6.94</v>
      </c>
      <c r="H38" s="8">
        <v>7.85</v>
      </c>
      <c r="I38" s="27"/>
      <c r="J38" s="21"/>
    </row>
    <row r="39" spans="1:10" x14ac:dyDescent="0.3">
      <c r="A39" s="31"/>
      <c r="B39" s="2" t="s">
        <v>31</v>
      </c>
      <c r="C39" s="13">
        <v>41</v>
      </c>
      <c r="D39" s="13">
        <v>92</v>
      </c>
      <c r="E39" s="15">
        <v>2.2400000000000002</v>
      </c>
      <c r="F39" s="13">
        <v>26</v>
      </c>
      <c r="G39" s="7">
        <v>5.73</v>
      </c>
      <c r="H39" s="8">
        <v>6.41</v>
      </c>
      <c r="I39" s="27"/>
      <c r="J39" s="21"/>
    </row>
    <row r="40" spans="1:10" x14ac:dyDescent="0.3">
      <c r="A40" s="31"/>
      <c r="B40" s="2" t="s">
        <v>32</v>
      </c>
      <c r="C40" s="13">
        <v>18</v>
      </c>
      <c r="D40" s="13">
        <v>52</v>
      </c>
      <c r="E40" s="15">
        <v>2.89</v>
      </c>
      <c r="F40" s="13">
        <v>31</v>
      </c>
      <c r="G40" s="7">
        <v>6.18</v>
      </c>
      <c r="H40" s="8">
        <v>7.3</v>
      </c>
      <c r="I40" s="27"/>
      <c r="J40" s="21"/>
    </row>
    <row r="41" spans="1:10" x14ac:dyDescent="0.3">
      <c r="A41" s="31"/>
      <c r="B41" s="2" t="s">
        <v>33</v>
      </c>
      <c r="C41" s="13">
        <v>21</v>
      </c>
      <c r="D41" s="13">
        <v>119</v>
      </c>
      <c r="E41" s="15">
        <v>5.67</v>
      </c>
      <c r="F41" s="13">
        <v>80</v>
      </c>
      <c r="G41" s="7">
        <v>6.37</v>
      </c>
      <c r="H41" s="8">
        <v>7</v>
      </c>
      <c r="I41" s="27" t="s">
        <v>56</v>
      </c>
      <c r="J41" s="21"/>
    </row>
    <row r="42" spans="1:10" x14ac:dyDescent="0.3">
      <c r="A42" s="32"/>
      <c r="B42" s="3" t="s">
        <v>34</v>
      </c>
      <c r="C42" s="14">
        <v>24</v>
      </c>
      <c r="D42" s="14">
        <v>89</v>
      </c>
      <c r="E42" s="16">
        <v>3.71</v>
      </c>
      <c r="F42" s="14">
        <v>55</v>
      </c>
      <c r="G42" s="9">
        <v>7.27</v>
      </c>
      <c r="H42" s="10">
        <v>7.7</v>
      </c>
      <c r="I42" s="28" t="s">
        <v>57</v>
      </c>
      <c r="J42" s="21"/>
    </row>
  </sheetData>
  <mergeCells count="13">
    <mergeCell ref="A1:I1"/>
    <mergeCell ref="A10:A19"/>
    <mergeCell ref="A4:A9"/>
    <mergeCell ref="A20:A32"/>
    <mergeCell ref="A33:A42"/>
    <mergeCell ref="E2:E3"/>
    <mergeCell ref="F2:F3"/>
    <mergeCell ref="G2:H2"/>
    <mergeCell ref="B2:B3"/>
    <mergeCell ref="A2:A3"/>
    <mergeCell ref="C2:C3"/>
    <mergeCell ref="D2:D3"/>
    <mergeCell ref="I2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9" sqref="G9"/>
    </sheetView>
  </sheetViews>
  <sheetFormatPr defaultRowHeight="16.5" x14ac:dyDescent="0.3"/>
  <cols>
    <col min="1" max="1" width="5.5" bestFit="1" customWidth="1"/>
    <col min="2" max="2" width="23.5" style="1" bestFit="1" customWidth="1"/>
    <col min="3" max="5" width="7.625" style="1" customWidth="1"/>
    <col min="6" max="6" width="9.25" style="1" bestFit="1" customWidth="1"/>
    <col min="7" max="8" width="9.25" style="1" customWidth="1"/>
    <col min="9" max="9" width="18.625" style="6" bestFit="1" customWidth="1"/>
  </cols>
  <sheetData>
    <row r="1" spans="1:10" ht="17.25" x14ac:dyDescent="0.3">
      <c r="A1" s="30" t="s">
        <v>62</v>
      </c>
      <c r="B1" s="30"/>
      <c r="C1" s="30"/>
      <c r="D1" s="30"/>
      <c r="E1" s="30"/>
      <c r="F1" s="30"/>
      <c r="G1" s="30"/>
      <c r="H1" s="30"/>
      <c r="I1" s="30"/>
    </row>
    <row r="2" spans="1:10" x14ac:dyDescent="0.3">
      <c r="A2" s="36" t="s">
        <v>42</v>
      </c>
      <c r="B2" s="33" t="s">
        <v>0</v>
      </c>
      <c r="C2" s="33" t="s">
        <v>39</v>
      </c>
      <c r="D2" s="33" t="s">
        <v>40</v>
      </c>
      <c r="E2" s="33" t="s">
        <v>41</v>
      </c>
      <c r="F2" s="33" t="s">
        <v>45</v>
      </c>
      <c r="G2" s="33" t="s">
        <v>43</v>
      </c>
      <c r="H2" s="35"/>
      <c r="I2" s="35" t="s">
        <v>63</v>
      </c>
    </row>
    <row r="3" spans="1:10" x14ac:dyDescent="0.3">
      <c r="A3" s="37"/>
      <c r="B3" s="34"/>
      <c r="C3" s="34"/>
      <c r="D3" s="34"/>
      <c r="E3" s="34"/>
      <c r="F3" s="34"/>
      <c r="G3" s="20" t="s">
        <v>44</v>
      </c>
      <c r="H3" s="5">
        <v>0.8</v>
      </c>
      <c r="I3" s="40"/>
    </row>
    <row r="4" spans="1:10" x14ac:dyDescent="0.3">
      <c r="A4" s="31" t="s">
        <v>50</v>
      </c>
      <c r="B4" s="2" t="s">
        <v>4</v>
      </c>
      <c r="C4" s="13">
        <v>20</v>
      </c>
      <c r="D4" s="13">
        <v>134</v>
      </c>
      <c r="E4" s="15">
        <v>6.7</v>
      </c>
      <c r="F4" s="13">
        <v>43</v>
      </c>
      <c r="G4" s="7">
        <v>2.93</v>
      </c>
      <c r="H4" s="8">
        <v>3.66</v>
      </c>
      <c r="I4" s="23"/>
      <c r="J4" s="21"/>
    </row>
    <row r="5" spans="1:10" x14ac:dyDescent="0.3">
      <c r="A5" s="31"/>
      <c r="B5" s="2" t="s">
        <v>5</v>
      </c>
      <c r="C5" s="13">
        <v>22</v>
      </c>
      <c r="D5" s="13">
        <v>98</v>
      </c>
      <c r="E5" s="15">
        <v>4.45</v>
      </c>
      <c r="F5" s="13">
        <v>75</v>
      </c>
      <c r="G5" s="7">
        <v>5.64</v>
      </c>
      <c r="H5" s="8">
        <v>6.34</v>
      </c>
      <c r="I5" s="23"/>
      <c r="J5" s="21"/>
    </row>
    <row r="6" spans="1:10" x14ac:dyDescent="0.3">
      <c r="A6" s="31"/>
      <c r="B6" s="2" t="s">
        <v>1</v>
      </c>
      <c r="C6" s="13">
        <v>9</v>
      </c>
      <c r="D6" s="13">
        <v>59</v>
      </c>
      <c r="E6" s="15">
        <v>6.56</v>
      </c>
      <c r="F6" s="13">
        <v>32</v>
      </c>
      <c r="G6" s="7">
        <v>4.99</v>
      </c>
      <c r="H6" s="8">
        <v>5.86</v>
      </c>
      <c r="I6" s="23"/>
      <c r="J6" s="21"/>
    </row>
    <row r="7" spans="1:10" x14ac:dyDescent="0.3">
      <c r="A7" s="31"/>
      <c r="B7" s="2" t="s">
        <v>6</v>
      </c>
      <c r="C7" s="13">
        <v>12</v>
      </c>
      <c r="D7" s="13">
        <v>64</v>
      </c>
      <c r="E7" s="15">
        <v>5.33</v>
      </c>
      <c r="F7" s="13">
        <v>49</v>
      </c>
      <c r="G7" s="7">
        <v>6.3</v>
      </c>
      <c r="H7" s="8">
        <v>6.64</v>
      </c>
      <c r="I7" s="23"/>
      <c r="J7" s="21"/>
    </row>
    <row r="8" spans="1:10" x14ac:dyDescent="0.3">
      <c r="A8" s="31"/>
      <c r="B8" s="2" t="s">
        <v>9</v>
      </c>
      <c r="C8" s="13">
        <v>14</v>
      </c>
      <c r="D8" s="13">
        <v>82</v>
      </c>
      <c r="E8" s="15">
        <v>5.86</v>
      </c>
      <c r="F8" s="13">
        <v>68</v>
      </c>
      <c r="G8" s="7">
        <v>5.79</v>
      </c>
      <c r="H8" s="8">
        <v>6.93</v>
      </c>
      <c r="I8" s="23"/>
      <c r="J8" s="21"/>
    </row>
    <row r="9" spans="1:10" x14ac:dyDescent="0.3">
      <c r="A9" s="31"/>
      <c r="B9" s="2" t="s">
        <v>10</v>
      </c>
      <c r="C9" s="13">
        <v>19</v>
      </c>
      <c r="D9" s="13">
        <v>134</v>
      </c>
      <c r="E9" s="15">
        <v>7.05</v>
      </c>
      <c r="F9" s="13">
        <v>108</v>
      </c>
      <c r="G9" s="7">
        <v>5.84</v>
      </c>
      <c r="H9" s="8">
        <v>6.38</v>
      </c>
      <c r="I9" s="23"/>
      <c r="J9" s="21"/>
    </row>
    <row r="10" spans="1:10" x14ac:dyDescent="0.3">
      <c r="A10" s="31" t="s">
        <v>51</v>
      </c>
      <c r="B10" s="2" t="s">
        <v>8</v>
      </c>
      <c r="C10" s="13">
        <v>7</v>
      </c>
      <c r="D10" s="13">
        <v>47</v>
      </c>
      <c r="E10" s="15">
        <v>6.71</v>
      </c>
      <c r="F10" s="13">
        <v>21</v>
      </c>
      <c r="G10" s="7">
        <v>5.73</v>
      </c>
      <c r="H10" s="8">
        <v>6.2</v>
      </c>
      <c r="I10" s="23"/>
      <c r="J10" s="21"/>
    </row>
    <row r="11" spans="1:10" x14ac:dyDescent="0.3">
      <c r="A11" s="31"/>
      <c r="B11" s="2" t="s">
        <v>35</v>
      </c>
      <c r="C11" s="13">
        <v>16</v>
      </c>
      <c r="D11" s="13">
        <v>71</v>
      </c>
      <c r="E11" s="15">
        <v>4.4400000000000004</v>
      </c>
      <c r="F11" s="13">
        <v>32</v>
      </c>
      <c r="G11" s="7">
        <v>5.12</v>
      </c>
      <c r="H11" s="8">
        <v>5.83</v>
      </c>
      <c r="I11" s="23"/>
      <c r="J11" s="21"/>
    </row>
    <row r="12" spans="1:10" x14ac:dyDescent="0.3">
      <c r="A12" s="31"/>
      <c r="B12" s="2" t="s">
        <v>36</v>
      </c>
      <c r="C12" s="13">
        <v>12</v>
      </c>
      <c r="D12" s="13">
        <v>54</v>
      </c>
      <c r="E12" s="15">
        <v>4.5</v>
      </c>
      <c r="F12" s="13">
        <v>31</v>
      </c>
      <c r="G12" s="7">
        <v>5.42</v>
      </c>
      <c r="H12" s="8">
        <v>5.8</v>
      </c>
      <c r="I12" s="23"/>
      <c r="J12" s="21"/>
    </row>
    <row r="13" spans="1:10" x14ac:dyDescent="0.3">
      <c r="A13" s="31"/>
      <c r="B13" s="2" t="s">
        <v>58</v>
      </c>
      <c r="C13" s="13">
        <v>16</v>
      </c>
      <c r="D13" s="13">
        <v>82</v>
      </c>
      <c r="E13" s="15">
        <v>5.13</v>
      </c>
      <c r="F13" s="13">
        <v>47</v>
      </c>
      <c r="G13" s="7">
        <v>6.33</v>
      </c>
      <c r="H13" s="8">
        <v>7.23</v>
      </c>
      <c r="I13" s="23" t="s">
        <v>54</v>
      </c>
      <c r="J13" s="21"/>
    </row>
    <row r="14" spans="1:10" x14ac:dyDescent="0.3">
      <c r="A14" s="31"/>
      <c r="B14" s="2" t="s">
        <v>37</v>
      </c>
      <c r="C14" s="13">
        <v>12</v>
      </c>
      <c r="D14" s="13">
        <v>109</v>
      </c>
      <c r="E14" s="15">
        <v>9.08</v>
      </c>
      <c r="F14" s="13">
        <v>58</v>
      </c>
      <c r="G14" s="7">
        <v>4.82</v>
      </c>
      <c r="H14" s="8">
        <v>5.0599999999999996</v>
      </c>
      <c r="I14" s="23"/>
      <c r="J14" s="21"/>
    </row>
    <row r="15" spans="1:10" x14ac:dyDescent="0.3">
      <c r="A15" s="31"/>
      <c r="B15" s="2" t="s">
        <v>38</v>
      </c>
      <c r="C15" s="13">
        <v>10</v>
      </c>
      <c r="D15" s="13">
        <v>33</v>
      </c>
      <c r="E15" s="15">
        <v>3.3</v>
      </c>
      <c r="F15" s="13">
        <v>17</v>
      </c>
      <c r="G15" s="7">
        <v>5.84</v>
      </c>
      <c r="H15" s="8">
        <v>6.51</v>
      </c>
      <c r="I15" s="23"/>
      <c r="J15" s="21"/>
    </row>
    <row r="16" spans="1:10" x14ac:dyDescent="0.3">
      <c r="A16" s="31"/>
      <c r="B16" s="2" t="s">
        <v>17</v>
      </c>
      <c r="C16" s="13">
        <v>8</v>
      </c>
      <c r="D16" s="13">
        <v>27</v>
      </c>
      <c r="E16" s="15">
        <v>3.38</v>
      </c>
      <c r="F16" s="13">
        <v>19</v>
      </c>
      <c r="G16" s="7">
        <v>5.4</v>
      </c>
      <c r="H16" s="8">
        <v>5.95</v>
      </c>
      <c r="I16" s="23"/>
      <c r="J16" s="21"/>
    </row>
    <row r="17" spans="1:10" x14ac:dyDescent="0.3">
      <c r="A17" s="31"/>
      <c r="B17" s="2" t="s">
        <v>22</v>
      </c>
      <c r="C17" s="13">
        <v>20</v>
      </c>
      <c r="D17" s="13">
        <v>100</v>
      </c>
      <c r="E17" s="15">
        <v>5</v>
      </c>
      <c r="F17" s="13">
        <v>80</v>
      </c>
      <c r="G17" s="7">
        <v>6.34</v>
      </c>
      <c r="H17" s="8">
        <v>7.05</v>
      </c>
      <c r="I17" s="23"/>
      <c r="J17" s="21"/>
    </row>
    <row r="18" spans="1:10" x14ac:dyDescent="0.3">
      <c r="A18" s="31"/>
      <c r="B18" s="2" t="s">
        <v>23</v>
      </c>
      <c r="C18" s="13">
        <v>8</v>
      </c>
      <c r="D18" s="13">
        <v>39</v>
      </c>
      <c r="E18" s="15">
        <v>4.88</v>
      </c>
      <c r="F18" s="13">
        <v>15</v>
      </c>
      <c r="G18" s="7">
        <v>5.32</v>
      </c>
      <c r="H18" s="8">
        <v>5.85</v>
      </c>
      <c r="I18" s="23"/>
      <c r="J18" s="21"/>
    </row>
    <row r="19" spans="1:10" x14ac:dyDescent="0.3">
      <c r="A19" s="31"/>
      <c r="B19" s="2" t="s">
        <v>24</v>
      </c>
      <c r="C19" s="13">
        <v>16</v>
      </c>
      <c r="D19" s="13">
        <v>91</v>
      </c>
      <c r="E19" s="15">
        <v>5.69</v>
      </c>
      <c r="F19" s="13">
        <v>66</v>
      </c>
      <c r="G19" s="7">
        <v>6.14</v>
      </c>
      <c r="H19" s="8">
        <v>7.06</v>
      </c>
      <c r="I19" s="23"/>
      <c r="J19" s="21"/>
    </row>
    <row r="20" spans="1:10" x14ac:dyDescent="0.3">
      <c r="A20" s="31" t="s">
        <v>52</v>
      </c>
      <c r="B20" s="2" t="s">
        <v>3</v>
      </c>
      <c r="C20" s="13">
        <v>7</v>
      </c>
      <c r="D20" s="13">
        <v>55</v>
      </c>
      <c r="E20" s="15">
        <v>7.86</v>
      </c>
      <c r="F20" s="13">
        <v>26</v>
      </c>
      <c r="G20" s="7">
        <v>3.8</v>
      </c>
      <c r="H20" s="8">
        <v>4.4000000000000004</v>
      </c>
      <c r="I20" s="23"/>
      <c r="J20" s="21"/>
    </row>
    <row r="21" spans="1:10" x14ac:dyDescent="0.3">
      <c r="A21" s="31"/>
      <c r="B21" s="2" t="s">
        <v>2</v>
      </c>
      <c r="C21" s="13">
        <v>12</v>
      </c>
      <c r="D21" s="13">
        <v>91</v>
      </c>
      <c r="E21" s="15">
        <v>7.58</v>
      </c>
      <c r="F21" s="13">
        <v>35</v>
      </c>
      <c r="G21" s="7">
        <v>5.04</v>
      </c>
      <c r="H21" s="8">
        <v>5.78</v>
      </c>
      <c r="I21" s="23"/>
      <c r="J21" s="21"/>
    </row>
    <row r="22" spans="1:10" x14ac:dyDescent="0.3">
      <c r="A22" s="31"/>
      <c r="B22" s="2" t="s">
        <v>11</v>
      </c>
      <c r="C22" s="13">
        <v>9</v>
      </c>
      <c r="D22" s="13">
        <v>51</v>
      </c>
      <c r="E22" s="15">
        <v>5.67</v>
      </c>
      <c r="F22" s="13">
        <v>42</v>
      </c>
      <c r="G22" s="7">
        <v>6.34</v>
      </c>
      <c r="H22" s="8">
        <v>6.8</v>
      </c>
      <c r="I22" s="23"/>
      <c r="J22" s="21"/>
    </row>
    <row r="23" spans="1:10" x14ac:dyDescent="0.3">
      <c r="A23" s="31"/>
      <c r="B23" s="2" t="s">
        <v>15</v>
      </c>
      <c r="C23" s="13">
        <v>0</v>
      </c>
      <c r="D23" s="13">
        <v>0</v>
      </c>
      <c r="E23" s="15">
        <v>0</v>
      </c>
      <c r="F23" s="13">
        <v>0</v>
      </c>
      <c r="G23" s="11">
        <v>0</v>
      </c>
      <c r="H23" s="12">
        <v>0</v>
      </c>
      <c r="I23" s="23"/>
      <c r="J23" s="21"/>
    </row>
    <row r="24" spans="1:10" x14ac:dyDescent="0.3">
      <c r="A24" s="31"/>
      <c r="B24" s="2" t="s">
        <v>7</v>
      </c>
      <c r="C24" s="13">
        <v>12</v>
      </c>
      <c r="D24" s="13">
        <v>51</v>
      </c>
      <c r="E24" s="15">
        <v>4.25</v>
      </c>
      <c r="F24" s="13">
        <v>39</v>
      </c>
      <c r="G24" s="7">
        <v>5.46</v>
      </c>
      <c r="H24" s="8">
        <v>6.29</v>
      </c>
      <c r="I24" s="23"/>
      <c r="J24" s="21"/>
    </row>
    <row r="25" spans="1:10" x14ac:dyDescent="0.3">
      <c r="A25" s="31"/>
      <c r="B25" s="2" t="s">
        <v>12</v>
      </c>
      <c r="C25" s="13">
        <v>22</v>
      </c>
      <c r="D25" s="13">
        <v>83</v>
      </c>
      <c r="E25" s="15">
        <v>3.77</v>
      </c>
      <c r="F25" s="13">
        <v>61</v>
      </c>
      <c r="G25" s="7">
        <v>5.16</v>
      </c>
      <c r="H25" s="8">
        <v>6.19</v>
      </c>
      <c r="I25" s="23"/>
      <c r="J25" s="21"/>
    </row>
    <row r="26" spans="1:10" x14ac:dyDescent="0.3">
      <c r="A26" s="31"/>
      <c r="B26" s="2" t="s">
        <v>13</v>
      </c>
      <c r="C26" s="13">
        <v>14</v>
      </c>
      <c r="D26" s="13">
        <v>123</v>
      </c>
      <c r="E26" s="15">
        <v>8.7899999999999991</v>
      </c>
      <c r="F26" s="13">
        <v>35</v>
      </c>
      <c r="G26" s="7">
        <v>4.6100000000000003</v>
      </c>
      <c r="H26" s="8">
        <v>4.84</v>
      </c>
      <c r="I26" s="23"/>
      <c r="J26" s="21"/>
    </row>
    <row r="27" spans="1:10" x14ac:dyDescent="0.3">
      <c r="A27" s="31"/>
      <c r="B27" s="2" t="s">
        <v>14</v>
      </c>
      <c r="C27" s="13">
        <v>14</v>
      </c>
      <c r="D27" s="13">
        <v>48</v>
      </c>
      <c r="E27" s="15">
        <v>3.43</v>
      </c>
      <c r="F27" s="13">
        <v>34</v>
      </c>
      <c r="G27" s="7">
        <v>6.27</v>
      </c>
      <c r="H27" s="8">
        <v>6.85</v>
      </c>
      <c r="I27" s="23"/>
      <c r="J27" s="21"/>
    </row>
    <row r="28" spans="1:10" x14ac:dyDescent="0.3">
      <c r="A28" s="31"/>
      <c r="B28" s="2" t="s">
        <v>16</v>
      </c>
      <c r="C28" s="13">
        <v>12</v>
      </c>
      <c r="D28" s="13">
        <v>66</v>
      </c>
      <c r="E28" s="15">
        <v>5.5</v>
      </c>
      <c r="F28" s="13">
        <v>21</v>
      </c>
      <c r="G28" s="7">
        <v>4.0599999999999996</v>
      </c>
      <c r="H28" s="8">
        <v>4.5999999999999996</v>
      </c>
      <c r="I28" s="23"/>
      <c r="J28" s="21"/>
    </row>
    <row r="29" spans="1:10" x14ac:dyDescent="0.3">
      <c r="A29" s="31"/>
      <c r="B29" s="2" t="s">
        <v>18</v>
      </c>
      <c r="C29" s="13">
        <v>14</v>
      </c>
      <c r="D29" s="13">
        <v>59</v>
      </c>
      <c r="E29" s="15">
        <v>4.21</v>
      </c>
      <c r="F29" s="13">
        <v>45</v>
      </c>
      <c r="G29" s="7">
        <v>6.02</v>
      </c>
      <c r="H29" s="8">
        <v>7.66</v>
      </c>
      <c r="I29" s="23"/>
      <c r="J29" s="21"/>
    </row>
    <row r="30" spans="1:10" x14ac:dyDescent="0.3">
      <c r="A30" s="31"/>
      <c r="B30" s="2" t="s">
        <v>19</v>
      </c>
      <c r="C30" s="13">
        <v>12</v>
      </c>
      <c r="D30" s="13">
        <v>56</v>
      </c>
      <c r="E30" s="15">
        <v>4.67</v>
      </c>
      <c r="F30" s="13">
        <v>44</v>
      </c>
      <c r="G30" s="7">
        <v>6.83</v>
      </c>
      <c r="H30" s="8">
        <v>7.69</v>
      </c>
      <c r="I30" s="23"/>
      <c r="J30" s="21"/>
    </row>
    <row r="31" spans="1:10" x14ac:dyDescent="0.3">
      <c r="A31" s="31"/>
      <c r="B31" s="2" t="s">
        <v>20</v>
      </c>
      <c r="C31" s="13">
        <v>12</v>
      </c>
      <c r="D31" s="13">
        <v>36</v>
      </c>
      <c r="E31" s="15">
        <v>3</v>
      </c>
      <c r="F31" s="13">
        <v>24</v>
      </c>
      <c r="G31" s="7">
        <v>6.75</v>
      </c>
      <c r="H31" s="8">
        <v>6.85</v>
      </c>
      <c r="I31" s="23" t="s">
        <v>55</v>
      </c>
      <c r="J31" s="21"/>
    </row>
    <row r="32" spans="1:10" x14ac:dyDescent="0.3">
      <c r="A32" s="31"/>
      <c r="B32" s="2" t="s">
        <v>21</v>
      </c>
      <c r="C32" s="13">
        <v>12</v>
      </c>
      <c r="D32" s="13">
        <v>48</v>
      </c>
      <c r="E32" s="15">
        <v>4</v>
      </c>
      <c r="F32" s="13">
        <v>34</v>
      </c>
      <c r="G32" s="7">
        <v>6.9</v>
      </c>
      <c r="H32" s="8">
        <v>7.55</v>
      </c>
      <c r="I32" s="23"/>
      <c r="J32" s="21"/>
    </row>
    <row r="33" spans="1:10" x14ac:dyDescent="0.3">
      <c r="A33" s="31" t="s">
        <v>53</v>
      </c>
      <c r="B33" s="2" t="s">
        <v>29</v>
      </c>
      <c r="C33" s="13">
        <v>20</v>
      </c>
      <c r="D33" s="13">
        <v>80</v>
      </c>
      <c r="E33" s="15">
        <v>4</v>
      </c>
      <c r="F33" s="13">
        <v>60</v>
      </c>
      <c r="G33" s="7">
        <v>5.65</v>
      </c>
      <c r="H33" s="8">
        <v>6.6</v>
      </c>
      <c r="I33" s="23"/>
      <c r="J33" s="21"/>
    </row>
    <row r="34" spans="1:10" x14ac:dyDescent="0.3">
      <c r="A34" s="31"/>
      <c r="B34" s="2" t="s">
        <v>25</v>
      </c>
      <c r="C34" s="13">
        <v>14</v>
      </c>
      <c r="D34" s="13">
        <v>57</v>
      </c>
      <c r="E34" s="15">
        <v>4.07</v>
      </c>
      <c r="F34" s="13">
        <v>42</v>
      </c>
      <c r="G34" s="7">
        <v>5.82</v>
      </c>
      <c r="H34" s="8">
        <v>6.68</v>
      </c>
      <c r="I34" s="23"/>
      <c r="J34" s="21"/>
    </row>
    <row r="35" spans="1:10" x14ac:dyDescent="0.3">
      <c r="A35" s="31"/>
      <c r="B35" s="2" t="s">
        <v>26</v>
      </c>
      <c r="C35" s="13">
        <v>12</v>
      </c>
      <c r="D35" s="13">
        <v>47</v>
      </c>
      <c r="E35" s="15">
        <v>3.92</v>
      </c>
      <c r="F35" s="13">
        <v>35</v>
      </c>
      <c r="G35" s="7">
        <v>6.31</v>
      </c>
      <c r="H35" s="8">
        <v>6.51</v>
      </c>
      <c r="I35" s="23"/>
      <c r="J35" s="21"/>
    </row>
    <row r="36" spans="1:10" x14ac:dyDescent="0.3">
      <c r="A36" s="31"/>
      <c r="B36" s="2" t="s">
        <v>27</v>
      </c>
      <c r="C36" s="13">
        <v>23</v>
      </c>
      <c r="D36" s="13">
        <v>111</v>
      </c>
      <c r="E36" s="15">
        <v>4.83</v>
      </c>
      <c r="F36" s="13">
        <v>88</v>
      </c>
      <c r="G36" s="7">
        <v>5.82</v>
      </c>
      <c r="H36" s="8">
        <v>6.64</v>
      </c>
      <c r="I36" s="23"/>
      <c r="J36" s="21"/>
    </row>
    <row r="37" spans="1:10" x14ac:dyDescent="0.3">
      <c r="A37" s="31"/>
      <c r="B37" s="2" t="s">
        <v>28</v>
      </c>
      <c r="C37" s="13">
        <v>12</v>
      </c>
      <c r="D37" s="13">
        <v>52</v>
      </c>
      <c r="E37" s="15">
        <v>4.33</v>
      </c>
      <c r="F37" s="13">
        <v>39</v>
      </c>
      <c r="G37" s="7">
        <v>6.31</v>
      </c>
      <c r="H37" s="8">
        <v>7.48</v>
      </c>
      <c r="I37" s="23"/>
      <c r="J37" s="21"/>
    </row>
    <row r="38" spans="1:10" x14ac:dyDescent="0.3">
      <c r="A38" s="31"/>
      <c r="B38" s="2" t="s">
        <v>30</v>
      </c>
      <c r="C38" s="13">
        <v>12</v>
      </c>
      <c r="D38" s="13">
        <v>43</v>
      </c>
      <c r="E38" s="15">
        <v>3.58</v>
      </c>
      <c r="F38" s="13">
        <v>31</v>
      </c>
      <c r="G38" s="7">
        <v>6.94</v>
      </c>
      <c r="H38" s="8">
        <v>7.26</v>
      </c>
      <c r="I38" s="23"/>
      <c r="J38" s="21"/>
    </row>
    <row r="39" spans="1:10" x14ac:dyDescent="0.3">
      <c r="A39" s="31"/>
      <c r="B39" s="2" t="s">
        <v>31</v>
      </c>
      <c r="C39" s="13">
        <v>4</v>
      </c>
      <c r="D39" s="13">
        <v>15</v>
      </c>
      <c r="E39" s="15">
        <v>3.75</v>
      </c>
      <c r="F39" s="13">
        <v>11</v>
      </c>
      <c r="G39" s="7">
        <v>6.27</v>
      </c>
      <c r="H39" s="8">
        <v>7.18</v>
      </c>
      <c r="I39" s="23"/>
      <c r="J39" s="21"/>
    </row>
    <row r="40" spans="1:10" x14ac:dyDescent="0.3">
      <c r="A40" s="31"/>
      <c r="B40" s="2" t="s">
        <v>32</v>
      </c>
      <c r="C40" s="13">
        <v>12</v>
      </c>
      <c r="D40" s="13">
        <v>48</v>
      </c>
      <c r="E40" s="15">
        <v>4</v>
      </c>
      <c r="F40" s="13">
        <v>36</v>
      </c>
      <c r="G40" s="7">
        <v>5.99</v>
      </c>
      <c r="H40" s="8">
        <v>6.59</v>
      </c>
      <c r="I40" s="23"/>
      <c r="J40" s="21"/>
    </row>
    <row r="41" spans="1:10" x14ac:dyDescent="0.3">
      <c r="A41" s="31"/>
      <c r="B41" s="2" t="s">
        <v>33</v>
      </c>
      <c r="C41" s="13">
        <v>14</v>
      </c>
      <c r="D41" s="13">
        <v>58</v>
      </c>
      <c r="E41" s="15">
        <v>4.1399999999999997</v>
      </c>
      <c r="F41" s="13">
        <v>44</v>
      </c>
      <c r="G41" s="7">
        <v>6.25</v>
      </c>
      <c r="H41" s="8">
        <v>7.26</v>
      </c>
      <c r="I41" s="23" t="s">
        <v>56</v>
      </c>
      <c r="J41" s="21"/>
    </row>
    <row r="42" spans="1:10" x14ac:dyDescent="0.3">
      <c r="A42" s="32"/>
      <c r="B42" s="3" t="s">
        <v>34</v>
      </c>
      <c r="C42" s="14">
        <v>16</v>
      </c>
      <c r="D42" s="14">
        <v>56</v>
      </c>
      <c r="E42" s="16">
        <v>3.5</v>
      </c>
      <c r="F42" s="14">
        <v>40</v>
      </c>
      <c r="G42" s="9">
        <v>7.85</v>
      </c>
      <c r="H42" s="10">
        <v>8.06</v>
      </c>
      <c r="I42" s="24" t="s">
        <v>57</v>
      </c>
      <c r="J42" s="21"/>
    </row>
    <row r="43" spans="1:10" x14ac:dyDescent="0.3">
      <c r="A43" s="25"/>
    </row>
    <row r="44" spans="1:10" x14ac:dyDescent="0.3">
      <c r="A44" s="26"/>
    </row>
    <row r="45" spans="1:10" x14ac:dyDescent="0.3">
      <c r="A45" s="26"/>
    </row>
    <row r="46" spans="1:10" x14ac:dyDescent="0.3">
      <c r="A46" s="26"/>
    </row>
    <row r="47" spans="1:10" x14ac:dyDescent="0.3">
      <c r="A47" s="26"/>
    </row>
  </sheetData>
  <mergeCells count="13">
    <mergeCell ref="A33:A42"/>
    <mergeCell ref="I2:I3"/>
    <mergeCell ref="A1:I1"/>
    <mergeCell ref="F2:F3"/>
    <mergeCell ref="G2:H2"/>
    <mergeCell ref="A4:A9"/>
    <mergeCell ref="A10:A19"/>
    <mergeCell ref="A20:A32"/>
    <mergeCell ref="A2:A3"/>
    <mergeCell ref="B2:B3"/>
    <mergeCell ref="C2:C3"/>
    <mergeCell ref="D2:D3"/>
    <mergeCell ref="E2:E3"/>
  </mergeCells>
  <phoneticPr fontId="1" type="noConversion"/>
  <printOptions horizontalCentered="1"/>
  <pageMargins left="0.25" right="0.25" top="0.75" bottom="0.75" header="0.3" footer="0.3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5" sqref="H5"/>
    </sheetView>
  </sheetViews>
  <sheetFormatPr defaultRowHeight="16.5" x14ac:dyDescent="0.3"/>
  <cols>
    <col min="1" max="1" width="5.5" customWidth="1"/>
    <col min="2" max="2" width="23.5" style="1" bestFit="1" customWidth="1"/>
    <col min="3" max="5" width="7.625" style="1" customWidth="1"/>
    <col min="6" max="6" width="9.25" style="1" bestFit="1" customWidth="1"/>
    <col min="7" max="8" width="9.25" style="1" customWidth="1"/>
    <col min="9" max="9" width="19.125" style="6" customWidth="1"/>
  </cols>
  <sheetData>
    <row r="1" spans="1:11" ht="17.25" customHeight="1" x14ac:dyDescent="0.3">
      <c r="A1" s="43" t="s">
        <v>60</v>
      </c>
      <c r="B1" s="43"/>
      <c r="C1" s="43"/>
      <c r="D1" s="43"/>
      <c r="E1" s="43"/>
      <c r="F1" s="43"/>
      <c r="G1" s="43"/>
      <c r="H1" s="43"/>
      <c r="I1" s="43"/>
    </row>
    <row r="2" spans="1:11" x14ac:dyDescent="0.3">
      <c r="A2" s="36" t="s">
        <v>46</v>
      </c>
      <c r="B2" s="33" t="s">
        <v>0</v>
      </c>
      <c r="C2" s="33" t="s">
        <v>39</v>
      </c>
      <c r="D2" s="33" t="s">
        <v>40</v>
      </c>
      <c r="E2" s="33" t="s">
        <v>41</v>
      </c>
      <c r="F2" s="33" t="s">
        <v>45</v>
      </c>
      <c r="G2" s="33" t="s">
        <v>43</v>
      </c>
      <c r="H2" s="35"/>
      <c r="I2" s="38" t="s">
        <v>63</v>
      </c>
    </row>
    <row r="3" spans="1:11" x14ac:dyDescent="0.3">
      <c r="A3" s="37"/>
      <c r="B3" s="34"/>
      <c r="C3" s="34"/>
      <c r="D3" s="34"/>
      <c r="E3" s="34"/>
      <c r="F3" s="34"/>
      <c r="G3" s="22" t="s">
        <v>44</v>
      </c>
      <c r="H3" s="5">
        <v>0.8</v>
      </c>
      <c r="I3" s="39"/>
    </row>
    <row r="4" spans="1:11" x14ac:dyDescent="0.3">
      <c r="A4" s="44" t="s">
        <v>48</v>
      </c>
      <c r="B4" s="2" t="s">
        <v>1</v>
      </c>
      <c r="C4" s="13">
        <v>7</v>
      </c>
      <c r="D4" s="13">
        <v>40</v>
      </c>
      <c r="E4" s="15">
        <f>D4/C4</f>
        <v>5.7142857142857144</v>
      </c>
      <c r="F4" s="13">
        <v>25</v>
      </c>
      <c r="G4" s="17">
        <v>5.51</v>
      </c>
      <c r="H4" s="18">
        <v>6.41</v>
      </c>
      <c r="I4" s="27"/>
      <c r="J4" s="21"/>
      <c r="K4" s="21"/>
    </row>
    <row r="5" spans="1:11" x14ac:dyDescent="0.3">
      <c r="A5" s="45"/>
      <c r="B5" s="2" t="s">
        <v>3</v>
      </c>
      <c r="C5" s="13">
        <v>3</v>
      </c>
      <c r="D5" s="13">
        <v>17</v>
      </c>
      <c r="E5" s="15">
        <f t="shared" ref="E5:E7" si="0">D5/C5</f>
        <v>5.666666666666667</v>
      </c>
      <c r="F5" s="13">
        <v>5</v>
      </c>
      <c r="G5" s="17">
        <v>4.6500000000000004</v>
      </c>
      <c r="H5" s="18">
        <v>5.08</v>
      </c>
      <c r="I5" s="27"/>
      <c r="J5" s="21"/>
      <c r="K5" s="21"/>
    </row>
    <row r="6" spans="1:11" x14ac:dyDescent="0.3">
      <c r="A6" s="45"/>
      <c r="B6" s="2" t="s">
        <v>4</v>
      </c>
      <c r="C6" s="13">
        <v>8</v>
      </c>
      <c r="D6" s="13">
        <v>56</v>
      </c>
      <c r="E6" s="15">
        <f t="shared" si="0"/>
        <v>7</v>
      </c>
      <c r="F6" s="13">
        <v>20</v>
      </c>
      <c r="G6" s="17">
        <v>3.6</v>
      </c>
      <c r="H6" s="18">
        <v>4.24</v>
      </c>
      <c r="I6" s="27"/>
      <c r="J6" s="21"/>
      <c r="K6" s="21"/>
    </row>
    <row r="7" spans="1:11" x14ac:dyDescent="0.3">
      <c r="A7" s="45"/>
      <c r="B7" s="2" t="s">
        <v>12</v>
      </c>
      <c r="C7" s="13">
        <v>6</v>
      </c>
      <c r="D7" s="13">
        <v>18</v>
      </c>
      <c r="E7" s="15">
        <f t="shared" si="0"/>
        <v>3</v>
      </c>
      <c r="F7" s="13">
        <v>10</v>
      </c>
      <c r="G7" s="17">
        <v>6.36</v>
      </c>
      <c r="H7" s="18">
        <v>6.8</v>
      </c>
      <c r="I7" s="27"/>
      <c r="J7" s="21"/>
      <c r="K7" s="21"/>
    </row>
    <row r="8" spans="1:11" x14ac:dyDescent="0.3">
      <c r="A8" s="44" t="s">
        <v>47</v>
      </c>
      <c r="B8" s="2" t="s">
        <v>5</v>
      </c>
      <c r="C8" s="41">
        <v>56</v>
      </c>
      <c r="D8" s="41">
        <v>229</v>
      </c>
      <c r="E8" s="47">
        <v>4.0999999999999996</v>
      </c>
      <c r="F8" s="41">
        <v>143</v>
      </c>
      <c r="G8" s="51">
        <v>6</v>
      </c>
      <c r="H8" s="49">
        <v>7.15</v>
      </c>
      <c r="I8" s="27"/>
      <c r="J8" s="21"/>
      <c r="K8" s="21"/>
    </row>
    <row r="9" spans="1:11" x14ac:dyDescent="0.3">
      <c r="A9" s="45"/>
      <c r="B9" s="2" t="s">
        <v>6</v>
      </c>
      <c r="C9" s="41"/>
      <c r="D9" s="41"/>
      <c r="E9" s="47"/>
      <c r="F9" s="41"/>
      <c r="G9" s="51"/>
      <c r="H9" s="49"/>
      <c r="I9" s="27"/>
      <c r="J9" s="21"/>
      <c r="K9" s="21"/>
    </row>
    <row r="10" spans="1:11" x14ac:dyDescent="0.3">
      <c r="A10" s="45"/>
      <c r="B10" s="2" t="s">
        <v>9</v>
      </c>
      <c r="C10" s="41"/>
      <c r="D10" s="41"/>
      <c r="E10" s="47"/>
      <c r="F10" s="41"/>
      <c r="G10" s="51"/>
      <c r="H10" s="49"/>
      <c r="I10" s="27"/>
      <c r="J10" s="21"/>
      <c r="K10" s="21"/>
    </row>
    <row r="11" spans="1:11" x14ac:dyDescent="0.3">
      <c r="A11" s="45"/>
      <c r="B11" s="2" t="s">
        <v>10</v>
      </c>
      <c r="C11" s="41"/>
      <c r="D11" s="41"/>
      <c r="E11" s="47"/>
      <c r="F11" s="41"/>
      <c r="G11" s="51"/>
      <c r="H11" s="49"/>
      <c r="I11" s="27"/>
      <c r="J11" s="21"/>
      <c r="K11" s="21"/>
    </row>
    <row r="12" spans="1:11" x14ac:dyDescent="0.3">
      <c r="A12" s="45"/>
      <c r="B12" s="2" t="s">
        <v>8</v>
      </c>
      <c r="C12" s="41"/>
      <c r="D12" s="41"/>
      <c r="E12" s="47"/>
      <c r="F12" s="41"/>
      <c r="G12" s="51"/>
      <c r="H12" s="49"/>
      <c r="I12" s="27"/>
      <c r="J12" s="21"/>
      <c r="K12" s="21"/>
    </row>
    <row r="13" spans="1:11" x14ac:dyDescent="0.3">
      <c r="A13" s="45"/>
      <c r="B13" s="2" t="s">
        <v>35</v>
      </c>
      <c r="C13" s="41"/>
      <c r="D13" s="41"/>
      <c r="E13" s="47"/>
      <c r="F13" s="41"/>
      <c r="G13" s="51"/>
      <c r="H13" s="49"/>
      <c r="I13" s="29"/>
      <c r="J13" s="21"/>
      <c r="K13" s="21"/>
    </row>
    <row r="14" spans="1:11" x14ac:dyDescent="0.3">
      <c r="A14" s="45"/>
      <c r="B14" s="2" t="s">
        <v>36</v>
      </c>
      <c r="C14" s="41"/>
      <c r="D14" s="41"/>
      <c r="E14" s="47"/>
      <c r="F14" s="41"/>
      <c r="G14" s="51"/>
      <c r="H14" s="49"/>
      <c r="I14" s="27"/>
      <c r="J14" s="21"/>
      <c r="K14" s="21"/>
    </row>
    <row r="15" spans="1:11" x14ac:dyDescent="0.3">
      <c r="A15" s="45"/>
      <c r="B15" s="2" t="s">
        <v>59</v>
      </c>
      <c r="C15" s="41"/>
      <c r="D15" s="41"/>
      <c r="E15" s="47"/>
      <c r="F15" s="41"/>
      <c r="G15" s="51"/>
      <c r="H15" s="49"/>
      <c r="I15" s="27" t="s">
        <v>54</v>
      </c>
      <c r="J15" s="21"/>
      <c r="K15" s="21"/>
    </row>
    <row r="16" spans="1:11" x14ac:dyDescent="0.3">
      <c r="A16" s="45"/>
      <c r="B16" s="2" t="s">
        <v>37</v>
      </c>
      <c r="C16" s="41"/>
      <c r="D16" s="41"/>
      <c r="E16" s="47"/>
      <c r="F16" s="41"/>
      <c r="G16" s="51"/>
      <c r="H16" s="49"/>
      <c r="I16" s="27"/>
      <c r="J16" s="21"/>
      <c r="K16" s="21"/>
    </row>
    <row r="17" spans="1:11" x14ac:dyDescent="0.3">
      <c r="A17" s="45"/>
      <c r="B17" s="2" t="s">
        <v>38</v>
      </c>
      <c r="C17" s="41"/>
      <c r="D17" s="41"/>
      <c r="E17" s="47"/>
      <c r="F17" s="41"/>
      <c r="G17" s="51"/>
      <c r="H17" s="49"/>
      <c r="I17" s="27"/>
      <c r="J17" s="21"/>
      <c r="K17" s="21"/>
    </row>
    <row r="18" spans="1:11" x14ac:dyDescent="0.3">
      <c r="A18" s="45"/>
      <c r="B18" s="2" t="s">
        <v>17</v>
      </c>
      <c r="C18" s="41"/>
      <c r="D18" s="41"/>
      <c r="E18" s="47"/>
      <c r="F18" s="41"/>
      <c r="G18" s="51"/>
      <c r="H18" s="49"/>
      <c r="I18" s="27"/>
      <c r="J18" s="21"/>
      <c r="K18" s="21"/>
    </row>
    <row r="19" spans="1:11" x14ac:dyDescent="0.3">
      <c r="A19" s="45"/>
      <c r="B19" s="2" t="s">
        <v>22</v>
      </c>
      <c r="C19" s="41"/>
      <c r="D19" s="41"/>
      <c r="E19" s="47"/>
      <c r="F19" s="41"/>
      <c r="G19" s="51"/>
      <c r="H19" s="49"/>
      <c r="I19" s="27"/>
      <c r="J19" s="21"/>
      <c r="K19" s="21"/>
    </row>
    <row r="20" spans="1:11" x14ac:dyDescent="0.3">
      <c r="A20" s="45"/>
      <c r="B20" s="2" t="s">
        <v>23</v>
      </c>
      <c r="C20" s="41"/>
      <c r="D20" s="41"/>
      <c r="E20" s="47"/>
      <c r="F20" s="41"/>
      <c r="G20" s="51"/>
      <c r="H20" s="49"/>
      <c r="I20" s="27"/>
      <c r="J20" s="21"/>
      <c r="K20" s="21"/>
    </row>
    <row r="21" spans="1:11" x14ac:dyDescent="0.3">
      <c r="A21" s="45"/>
      <c r="B21" s="2" t="s">
        <v>24</v>
      </c>
      <c r="C21" s="41"/>
      <c r="D21" s="41"/>
      <c r="E21" s="47"/>
      <c r="F21" s="41"/>
      <c r="G21" s="51"/>
      <c r="H21" s="49"/>
      <c r="I21" s="27"/>
      <c r="J21" s="21"/>
      <c r="K21" s="21"/>
    </row>
    <row r="22" spans="1:11" x14ac:dyDescent="0.3">
      <c r="A22" s="45"/>
      <c r="B22" s="2" t="s">
        <v>2</v>
      </c>
      <c r="C22" s="41"/>
      <c r="D22" s="41"/>
      <c r="E22" s="47"/>
      <c r="F22" s="41"/>
      <c r="G22" s="51"/>
      <c r="H22" s="49"/>
      <c r="I22" s="27"/>
      <c r="J22" s="21"/>
      <c r="K22" s="21"/>
    </row>
    <row r="23" spans="1:11" x14ac:dyDescent="0.3">
      <c r="A23" s="45"/>
      <c r="B23" s="2" t="s">
        <v>11</v>
      </c>
      <c r="C23" s="41"/>
      <c r="D23" s="41"/>
      <c r="E23" s="47"/>
      <c r="F23" s="41"/>
      <c r="G23" s="51"/>
      <c r="H23" s="49"/>
      <c r="I23" s="27"/>
      <c r="J23" s="21"/>
      <c r="K23" s="21"/>
    </row>
    <row r="24" spans="1:11" x14ac:dyDescent="0.3">
      <c r="A24" s="45"/>
      <c r="B24" s="2" t="s">
        <v>15</v>
      </c>
      <c r="C24" s="41"/>
      <c r="D24" s="41"/>
      <c r="E24" s="47"/>
      <c r="F24" s="41"/>
      <c r="G24" s="51"/>
      <c r="H24" s="49"/>
      <c r="I24" s="27"/>
      <c r="J24" s="21"/>
      <c r="K24" s="21"/>
    </row>
    <row r="25" spans="1:11" x14ac:dyDescent="0.3">
      <c r="A25" s="45"/>
      <c r="B25" s="2" t="s">
        <v>7</v>
      </c>
      <c r="C25" s="41"/>
      <c r="D25" s="41"/>
      <c r="E25" s="47"/>
      <c r="F25" s="41"/>
      <c r="G25" s="51"/>
      <c r="H25" s="49"/>
      <c r="I25" s="27"/>
      <c r="J25" s="21"/>
      <c r="K25" s="21"/>
    </row>
    <row r="26" spans="1:11" x14ac:dyDescent="0.3">
      <c r="A26" s="45"/>
      <c r="B26" s="2" t="s">
        <v>13</v>
      </c>
      <c r="C26" s="41"/>
      <c r="D26" s="41"/>
      <c r="E26" s="47"/>
      <c r="F26" s="41"/>
      <c r="G26" s="51"/>
      <c r="H26" s="49"/>
      <c r="I26" s="27"/>
      <c r="J26" s="21"/>
      <c r="K26" s="21"/>
    </row>
    <row r="27" spans="1:11" x14ac:dyDescent="0.3">
      <c r="A27" s="45"/>
      <c r="B27" s="2" t="s">
        <v>14</v>
      </c>
      <c r="C27" s="41"/>
      <c r="D27" s="41"/>
      <c r="E27" s="47"/>
      <c r="F27" s="41"/>
      <c r="G27" s="51"/>
      <c r="H27" s="49"/>
      <c r="I27" s="27"/>
      <c r="J27" s="21"/>
      <c r="K27" s="21"/>
    </row>
    <row r="28" spans="1:11" x14ac:dyDescent="0.3">
      <c r="A28" s="45"/>
      <c r="B28" s="2" t="s">
        <v>16</v>
      </c>
      <c r="C28" s="41"/>
      <c r="D28" s="41"/>
      <c r="E28" s="47"/>
      <c r="F28" s="41"/>
      <c r="G28" s="51"/>
      <c r="H28" s="49"/>
      <c r="I28" s="27"/>
      <c r="J28" s="21"/>
      <c r="K28" s="21"/>
    </row>
    <row r="29" spans="1:11" x14ac:dyDescent="0.3">
      <c r="A29" s="45"/>
      <c r="B29" s="2" t="s">
        <v>18</v>
      </c>
      <c r="C29" s="41"/>
      <c r="D29" s="41"/>
      <c r="E29" s="47"/>
      <c r="F29" s="41"/>
      <c r="G29" s="51"/>
      <c r="H29" s="49"/>
      <c r="I29" s="27"/>
      <c r="J29" s="21"/>
      <c r="K29" s="21"/>
    </row>
    <row r="30" spans="1:11" x14ac:dyDescent="0.3">
      <c r="A30" s="45"/>
      <c r="B30" s="2" t="s">
        <v>19</v>
      </c>
      <c r="C30" s="41"/>
      <c r="D30" s="41"/>
      <c r="E30" s="47"/>
      <c r="F30" s="41"/>
      <c r="G30" s="51"/>
      <c r="H30" s="49"/>
      <c r="I30" s="27"/>
      <c r="J30" s="21"/>
      <c r="K30" s="21"/>
    </row>
    <row r="31" spans="1:11" x14ac:dyDescent="0.3">
      <c r="A31" s="45"/>
      <c r="B31" s="2" t="s">
        <v>20</v>
      </c>
      <c r="C31" s="41"/>
      <c r="D31" s="41"/>
      <c r="E31" s="47"/>
      <c r="F31" s="41"/>
      <c r="G31" s="51"/>
      <c r="H31" s="49"/>
      <c r="I31" s="27" t="s">
        <v>55</v>
      </c>
      <c r="J31" s="21"/>
      <c r="K31" s="21"/>
    </row>
    <row r="32" spans="1:11" x14ac:dyDescent="0.3">
      <c r="A32" s="45"/>
      <c r="B32" s="2" t="s">
        <v>21</v>
      </c>
      <c r="C32" s="41"/>
      <c r="D32" s="41"/>
      <c r="E32" s="47"/>
      <c r="F32" s="41"/>
      <c r="G32" s="51"/>
      <c r="H32" s="49"/>
      <c r="I32" s="27"/>
      <c r="J32" s="21"/>
      <c r="K32" s="21"/>
    </row>
    <row r="33" spans="1:11" x14ac:dyDescent="0.3">
      <c r="A33" s="45"/>
      <c r="B33" s="2" t="s">
        <v>29</v>
      </c>
      <c r="C33" s="41"/>
      <c r="D33" s="41"/>
      <c r="E33" s="47"/>
      <c r="F33" s="41"/>
      <c r="G33" s="51"/>
      <c r="H33" s="49"/>
      <c r="I33" s="27"/>
      <c r="J33" s="21"/>
      <c r="K33" s="21"/>
    </row>
    <row r="34" spans="1:11" x14ac:dyDescent="0.3">
      <c r="A34" s="45"/>
      <c r="B34" s="2" t="s">
        <v>25</v>
      </c>
      <c r="C34" s="41"/>
      <c r="D34" s="41"/>
      <c r="E34" s="47"/>
      <c r="F34" s="41"/>
      <c r="G34" s="51"/>
      <c r="H34" s="49"/>
      <c r="I34" s="27"/>
      <c r="J34" s="21"/>
      <c r="K34" s="21"/>
    </row>
    <row r="35" spans="1:11" x14ac:dyDescent="0.3">
      <c r="A35" s="45"/>
      <c r="B35" s="2" t="s">
        <v>26</v>
      </c>
      <c r="C35" s="41"/>
      <c r="D35" s="41"/>
      <c r="E35" s="47"/>
      <c r="F35" s="41"/>
      <c r="G35" s="51"/>
      <c r="H35" s="49"/>
      <c r="I35" s="27"/>
      <c r="J35" s="21"/>
      <c r="K35" s="21"/>
    </row>
    <row r="36" spans="1:11" x14ac:dyDescent="0.3">
      <c r="A36" s="45"/>
      <c r="B36" s="2" t="s">
        <v>27</v>
      </c>
      <c r="C36" s="41"/>
      <c r="D36" s="41"/>
      <c r="E36" s="47"/>
      <c r="F36" s="41"/>
      <c r="G36" s="51"/>
      <c r="H36" s="49"/>
      <c r="I36" s="27"/>
      <c r="J36" s="21"/>
      <c r="K36" s="21"/>
    </row>
    <row r="37" spans="1:11" x14ac:dyDescent="0.3">
      <c r="A37" s="45"/>
      <c r="B37" s="2" t="s">
        <v>28</v>
      </c>
      <c r="C37" s="41"/>
      <c r="D37" s="41"/>
      <c r="E37" s="47"/>
      <c r="F37" s="41"/>
      <c r="G37" s="51"/>
      <c r="H37" s="49"/>
      <c r="I37" s="27"/>
      <c r="J37" s="21"/>
      <c r="K37" s="21"/>
    </row>
    <row r="38" spans="1:11" x14ac:dyDescent="0.3">
      <c r="A38" s="45"/>
      <c r="B38" s="2" t="s">
        <v>30</v>
      </c>
      <c r="C38" s="41"/>
      <c r="D38" s="41"/>
      <c r="E38" s="47"/>
      <c r="F38" s="41"/>
      <c r="G38" s="51"/>
      <c r="H38" s="49"/>
      <c r="I38" s="27"/>
      <c r="J38" s="21"/>
      <c r="K38" s="21"/>
    </row>
    <row r="39" spans="1:11" x14ac:dyDescent="0.3">
      <c r="A39" s="45"/>
      <c r="B39" s="2" t="s">
        <v>31</v>
      </c>
      <c r="C39" s="41"/>
      <c r="D39" s="41"/>
      <c r="E39" s="47"/>
      <c r="F39" s="41"/>
      <c r="G39" s="51"/>
      <c r="H39" s="49"/>
      <c r="I39" s="27"/>
      <c r="J39" s="21"/>
      <c r="K39" s="21"/>
    </row>
    <row r="40" spans="1:11" x14ac:dyDescent="0.3">
      <c r="A40" s="45"/>
      <c r="B40" s="2" t="s">
        <v>32</v>
      </c>
      <c r="C40" s="41"/>
      <c r="D40" s="41"/>
      <c r="E40" s="47"/>
      <c r="F40" s="41"/>
      <c r="G40" s="51"/>
      <c r="H40" s="49"/>
      <c r="I40" s="27"/>
      <c r="J40" s="21"/>
      <c r="K40" s="21"/>
    </row>
    <row r="41" spans="1:11" x14ac:dyDescent="0.3">
      <c r="A41" s="45"/>
      <c r="B41" s="2" t="s">
        <v>33</v>
      </c>
      <c r="C41" s="41"/>
      <c r="D41" s="41"/>
      <c r="E41" s="47"/>
      <c r="F41" s="41"/>
      <c r="G41" s="51"/>
      <c r="H41" s="49"/>
      <c r="I41" s="27" t="s">
        <v>56</v>
      </c>
      <c r="J41" s="21"/>
      <c r="K41" s="21"/>
    </row>
    <row r="42" spans="1:11" x14ac:dyDescent="0.3">
      <c r="A42" s="46"/>
      <c r="B42" s="3" t="s">
        <v>34</v>
      </c>
      <c r="C42" s="42"/>
      <c r="D42" s="42"/>
      <c r="E42" s="48"/>
      <c r="F42" s="42"/>
      <c r="G42" s="52"/>
      <c r="H42" s="50"/>
      <c r="I42" s="28" t="s">
        <v>57</v>
      </c>
      <c r="J42" s="21"/>
      <c r="K42" s="21"/>
    </row>
    <row r="43" spans="1:11" x14ac:dyDescent="0.3">
      <c r="D43" s="19"/>
    </row>
  </sheetData>
  <mergeCells count="17">
    <mergeCell ref="G8:G42"/>
    <mergeCell ref="D8:D42"/>
    <mergeCell ref="I2:I3"/>
    <mergeCell ref="A1:I1"/>
    <mergeCell ref="G2:H2"/>
    <mergeCell ref="A4:A7"/>
    <mergeCell ref="A8:A42"/>
    <mergeCell ref="B2:B3"/>
    <mergeCell ref="A2:A3"/>
    <mergeCell ref="C2:C3"/>
    <mergeCell ref="D2:D3"/>
    <mergeCell ref="E2:E3"/>
    <mergeCell ref="F2:F3"/>
    <mergeCell ref="C8:C42"/>
    <mergeCell ref="E8:E42"/>
    <mergeCell ref="F8:F42"/>
    <mergeCell ref="H8:H4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수시일반</vt:lpstr>
      <vt:lpstr>수시지역학생</vt:lpstr>
      <vt:lpstr>수시수급자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cp:lastPrinted>2019-04-19T01:52:45Z</cp:lastPrinted>
  <dcterms:created xsi:type="dcterms:W3CDTF">2019-04-09T04:10:49Z</dcterms:created>
  <dcterms:modified xsi:type="dcterms:W3CDTF">2020-05-01T02:54:02Z</dcterms:modified>
</cp:coreProperties>
</file>