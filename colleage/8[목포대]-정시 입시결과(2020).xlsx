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자료\내 문서\2021학년도\2020학년도 통계자료\"/>
    </mc:Choice>
  </mc:AlternateContent>
  <bookViews>
    <workbookView xWindow="0" yWindow="0" windowWidth="28800" windowHeight="12975"/>
  </bookViews>
  <sheets>
    <sheet name="2020 가군" sheetId="9" r:id="rId1"/>
    <sheet name="2020 다군" sheetId="8" r:id="rId2"/>
  </sheets>
  <definedNames>
    <definedName name="_xlnm.Print_Titles" localSheetId="0">'2020 가군'!$4:$4</definedName>
    <definedName name="_xlnm.Print_Titles" localSheetId="1">'2020 다군'!$4:$5</definedName>
  </definedNames>
  <calcPr calcId="162913"/>
</workbook>
</file>

<file path=xl/calcChain.xml><?xml version="1.0" encoding="utf-8"?>
<calcChain xmlns="http://schemas.openxmlformats.org/spreadsheetml/2006/main">
  <c r="F6" i="9" l="1"/>
  <c r="E22" i="9"/>
  <c r="D22" i="9"/>
  <c r="C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22" i="9" l="1"/>
  <c r="F7" i="8" l="1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E55" i="8"/>
  <c r="F6" i="8"/>
  <c r="C55" i="8" l="1"/>
  <c r="D55" i="8" l="1"/>
  <c r="F55" i="8" s="1"/>
</calcChain>
</file>

<file path=xl/sharedStrings.xml><?xml version="1.0" encoding="utf-8"?>
<sst xmlns="http://schemas.openxmlformats.org/spreadsheetml/2006/main" count="170" uniqueCount="131">
  <si>
    <t>영어영문학과</t>
  </si>
  <si>
    <t>독일언어문화학과</t>
  </si>
  <si>
    <t>법학과</t>
  </si>
  <si>
    <t>지적학과</t>
  </si>
  <si>
    <t>정치언론홍보학과</t>
  </si>
  <si>
    <t>사회복지학과</t>
  </si>
  <si>
    <t>간호학과</t>
  </si>
  <si>
    <t>환경공학과</t>
  </si>
  <si>
    <t>조경학과</t>
  </si>
  <si>
    <t>건축학과(5년제)</t>
  </si>
  <si>
    <t>금융보험학과</t>
  </si>
  <si>
    <t>전자상거래학과</t>
  </si>
  <si>
    <t>교육학과</t>
  </si>
  <si>
    <t>윤리교육과</t>
  </si>
  <si>
    <t>영어교육과</t>
  </si>
  <si>
    <t>수학교육과</t>
  </si>
  <si>
    <t>환경교육과</t>
  </si>
  <si>
    <t>최고
등급</t>
    <phoneticPr fontId="1" type="noConversion"/>
  </si>
  <si>
    <t>최저
등급</t>
    <phoneticPr fontId="1" type="noConversion"/>
  </si>
  <si>
    <t>평균
등급</t>
    <phoneticPr fontId="1" type="noConversion"/>
  </si>
  <si>
    <t>모집
인원</t>
    <phoneticPr fontId="1" type="noConversion"/>
  </si>
  <si>
    <t>지원
인원</t>
    <phoneticPr fontId="1" type="noConversion"/>
  </si>
  <si>
    <r>
      <t>체육학과</t>
    </r>
    <r>
      <rPr>
        <sz val="11"/>
        <color rgb="FF000080"/>
        <rFont val="맑은 고딕"/>
        <family val="3"/>
        <charset val="129"/>
        <scheme val="minor"/>
      </rPr>
      <t>★</t>
    </r>
  </si>
  <si>
    <r>
      <t>미술학과</t>
    </r>
    <r>
      <rPr>
        <sz val="11"/>
        <color rgb="FF000080"/>
        <rFont val="맑은 고딕"/>
        <family val="3"/>
        <charset val="129"/>
        <scheme val="minor"/>
      </rPr>
      <t>★</t>
    </r>
  </si>
  <si>
    <r>
      <t>무역학과</t>
    </r>
    <r>
      <rPr>
        <sz val="11"/>
        <color rgb="FF000080"/>
        <rFont val="맑은 고딕"/>
        <family val="3"/>
        <charset val="129"/>
        <scheme val="minor"/>
      </rPr>
      <t>★</t>
    </r>
  </si>
  <si>
    <r>
      <t>경제학과</t>
    </r>
    <r>
      <rPr>
        <sz val="11"/>
        <color rgb="FF000080"/>
        <rFont val="맑은 고딕"/>
        <family val="3"/>
        <charset val="129"/>
        <scheme val="minor"/>
      </rPr>
      <t>★</t>
    </r>
  </si>
  <si>
    <r>
      <t>경영학과</t>
    </r>
    <r>
      <rPr>
        <sz val="11"/>
        <color rgb="FF000080"/>
        <rFont val="맑은 고딕"/>
        <family val="3"/>
        <charset val="129"/>
        <scheme val="minor"/>
      </rPr>
      <t>★</t>
    </r>
  </si>
  <si>
    <r>
      <t>화학과</t>
    </r>
    <r>
      <rPr>
        <sz val="11"/>
        <color rgb="FF000080"/>
        <rFont val="맑은 고딕"/>
        <family val="3"/>
        <charset val="129"/>
        <scheme val="minor"/>
      </rPr>
      <t>★</t>
    </r>
  </si>
  <si>
    <r>
      <t>물리학과</t>
    </r>
    <r>
      <rPr>
        <sz val="11"/>
        <color rgb="FF000080"/>
        <rFont val="맑은 고딕"/>
        <family val="3"/>
        <charset val="129"/>
        <scheme val="minor"/>
      </rPr>
      <t>★</t>
    </r>
  </si>
  <si>
    <r>
      <t>행정학과</t>
    </r>
    <r>
      <rPr>
        <sz val="11"/>
        <color rgb="FF000080"/>
        <rFont val="맑은 고딕"/>
        <family val="3"/>
        <charset val="129"/>
        <scheme val="minor"/>
      </rPr>
      <t>★</t>
    </r>
  </si>
  <si>
    <r>
      <t>일어일문학과</t>
    </r>
    <r>
      <rPr>
        <sz val="11"/>
        <color rgb="FF000080"/>
        <rFont val="맑은 고딕"/>
        <family val="3"/>
        <charset val="129"/>
        <scheme val="minor"/>
      </rPr>
      <t>★</t>
    </r>
  </si>
  <si>
    <r>
      <t>국어국문학과</t>
    </r>
    <r>
      <rPr>
        <sz val="11"/>
        <color rgb="FF000080"/>
        <rFont val="맑은 고딕"/>
        <family val="3"/>
        <charset val="129"/>
        <scheme val="minor"/>
      </rPr>
      <t>★</t>
    </r>
  </si>
  <si>
    <t>경쟁률</t>
    <phoneticPr fontId="1" type="noConversion"/>
  </si>
  <si>
    <t>평균
등급</t>
    <phoneticPr fontId="1" type="noConversion"/>
  </si>
  <si>
    <t>최저
등급</t>
    <phoneticPr fontId="1" type="noConversion"/>
  </si>
  <si>
    <t>최고
등급</t>
    <phoneticPr fontId="1" type="noConversion"/>
  </si>
  <si>
    <t>정원</t>
    <phoneticPr fontId="1" type="noConversion"/>
  </si>
  <si>
    <t>학과</t>
    <phoneticPr fontId="1" type="noConversion"/>
  </si>
  <si>
    <t>학과</t>
    <phoneticPr fontId="1" type="noConversion"/>
  </si>
  <si>
    <t>입학
정원</t>
    <phoneticPr fontId="1" type="noConversion"/>
  </si>
  <si>
    <t>합계</t>
    <phoneticPr fontId="1" type="noConversion"/>
  </si>
  <si>
    <t>충원합격
최종순위</t>
    <phoneticPr fontId="1" type="noConversion"/>
  </si>
  <si>
    <t>고고인류문화학과</t>
    <phoneticPr fontId="1" type="noConversion"/>
  </si>
  <si>
    <t>도시및지역개발학과</t>
    <phoneticPr fontId="1" type="noConversion"/>
  </si>
  <si>
    <t>식품공학과</t>
    <phoneticPr fontId="1" type="noConversion"/>
  </si>
  <si>
    <r>
      <t>생명과학과</t>
    </r>
    <r>
      <rPr>
        <sz val="11"/>
        <color rgb="FF000080"/>
        <rFont val="맑은 고딕"/>
        <family val="3"/>
        <charset val="129"/>
        <scheme val="minor"/>
      </rPr>
      <t>★</t>
    </r>
    <phoneticPr fontId="1" type="noConversion"/>
  </si>
  <si>
    <r>
      <t>정보보호학과</t>
    </r>
    <r>
      <rPr>
        <sz val="11"/>
        <color rgb="FF663333"/>
        <rFont val="맑은 고딕"/>
        <family val="3"/>
        <charset val="129"/>
        <scheme val="minor"/>
      </rPr>
      <t>◆</t>
    </r>
    <phoneticPr fontId="1" type="noConversion"/>
  </si>
  <si>
    <r>
      <t>융합소프트웨어학과</t>
    </r>
    <r>
      <rPr>
        <sz val="11"/>
        <color rgb="FF663333"/>
        <rFont val="맑은 고딕"/>
        <family val="3"/>
        <charset val="129"/>
        <scheme val="minor"/>
      </rPr>
      <t>◆</t>
    </r>
    <phoneticPr fontId="1" type="noConversion"/>
  </si>
  <si>
    <r>
      <t>중국언어와문화학과</t>
    </r>
    <r>
      <rPr>
        <sz val="11"/>
        <color rgb="FF000080"/>
        <rFont val="맑은 고딕"/>
        <family val="3"/>
        <charset val="129"/>
        <scheme val="minor"/>
      </rPr>
      <t>★</t>
    </r>
    <phoneticPr fontId="1" type="noConversion"/>
  </si>
  <si>
    <t>사회과학부</t>
    <phoneticPr fontId="1" type="noConversion"/>
  </si>
  <si>
    <t>공공인재학부</t>
    <phoneticPr fontId="1" type="noConversion"/>
  </si>
  <si>
    <t>기초과학부</t>
    <phoneticPr fontId="1" type="noConversion"/>
  </si>
  <si>
    <t>미래사회공학부</t>
    <phoneticPr fontId="1" type="noConversion"/>
  </si>
  <si>
    <t>경상학부</t>
    <phoneticPr fontId="1" type="noConversion"/>
  </si>
  <si>
    <t>생활과학부</t>
    <phoneticPr fontId="1" type="noConversion"/>
  </si>
  <si>
    <t>대학수학능력시험(100%)
환산총점</t>
    <phoneticPr fontId="1" type="noConversion"/>
  </si>
  <si>
    <t>대학수학능력시험(100%)
평균등급</t>
    <phoneticPr fontId="1" type="noConversion"/>
  </si>
  <si>
    <r>
      <t>관광경영학과</t>
    </r>
    <r>
      <rPr>
        <sz val="11"/>
        <color rgb="FF000080"/>
        <rFont val="맑은 고딕"/>
        <family val="3"/>
        <charset val="129"/>
        <scheme val="minor"/>
      </rPr>
      <t>★</t>
    </r>
    <phoneticPr fontId="1" type="noConversion"/>
  </si>
  <si>
    <r>
      <t>사학과</t>
    </r>
    <r>
      <rPr>
        <sz val="11"/>
        <color rgb="FF000080"/>
        <rFont val="맑은 고딕"/>
        <family val="3"/>
        <charset val="129"/>
        <scheme val="minor"/>
      </rPr>
      <t>★</t>
    </r>
    <phoneticPr fontId="1" type="noConversion"/>
  </si>
  <si>
    <t>조선해양공학과◆</t>
    <phoneticPr fontId="1" type="noConversion"/>
  </si>
  <si>
    <t>전자정보통신공학과◆</t>
    <phoneticPr fontId="1" type="noConversion"/>
  </si>
  <si>
    <r>
      <t>음악학과(성악)</t>
    </r>
    <r>
      <rPr>
        <sz val="11"/>
        <color rgb="FF000080"/>
        <rFont val="맑은 고딕"/>
        <family val="3"/>
        <charset val="129"/>
        <scheme val="minor"/>
      </rPr>
      <t>★</t>
    </r>
    <phoneticPr fontId="1" type="noConversion"/>
  </si>
  <si>
    <r>
      <t>음악학과(피아노)</t>
    </r>
    <r>
      <rPr>
        <sz val="11"/>
        <color rgb="FF000080"/>
        <rFont val="맑은 고딕"/>
        <family val="3"/>
        <charset val="129"/>
        <scheme val="minor"/>
      </rPr>
      <t>★</t>
    </r>
    <phoneticPr fontId="1" type="noConversion"/>
  </si>
  <si>
    <r>
      <t>음악학과(관현악)</t>
    </r>
    <r>
      <rPr>
        <sz val="11"/>
        <color rgb="FF000080"/>
        <rFont val="맑은 고딕"/>
        <family val="3"/>
        <charset val="129"/>
        <scheme val="minor"/>
      </rPr>
      <t>★</t>
    </r>
    <phoneticPr fontId="1" type="noConversion"/>
  </si>
  <si>
    <r>
      <t>음악학과(작곡)</t>
    </r>
    <r>
      <rPr>
        <sz val="11"/>
        <color rgb="FF000080"/>
        <rFont val="맑은 고딕"/>
        <family val="3"/>
        <charset val="129"/>
        <scheme val="minor"/>
      </rPr>
      <t>★</t>
    </r>
    <phoneticPr fontId="1" type="noConversion"/>
  </si>
  <si>
    <t>토목공학과</t>
    <phoneticPr fontId="1" type="noConversion"/>
  </si>
  <si>
    <t>인문학부</t>
    <phoneticPr fontId="1" type="noConversion"/>
  </si>
  <si>
    <t>2020학년도 목포대학교 정시 가군 입학전형 결과</t>
    <phoneticPr fontId="1" type="noConversion"/>
  </si>
  <si>
    <t>식의약자원개발학과★</t>
    <phoneticPr fontId="1" type="noConversion"/>
  </si>
  <si>
    <r>
      <t>원예과학과</t>
    </r>
    <r>
      <rPr>
        <sz val="11"/>
        <color theme="3" tint="-0.499984740745262"/>
        <rFont val="맑은 고딕"/>
        <family val="3"/>
        <charset val="129"/>
        <scheme val="minor"/>
      </rPr>
      <t>★</t>
    </r>
    <phoneticPr fontId="1" type="noConversion"/>
  </si>
  <si>
    <t>해양수산자원학과★</t>
    <phoneticPr fontId="1" type="noConversion"/>
  </si>
  <si>
    <t>신소재공학과</t>
    <phoneticPr fontId="1" type="noConversion"/>
  </si>
  <si>
    <t>기계공학과</t>
    <phoneticPr fontId="1" type="noConversion"/>
  </si>
  <si>
    <t>식의약·원예·해양자원학부</t>
    <phoneticPr fontId="1" type="noConversion"/>
  </si>
  <si>
    <t>스마트운송기계·신소재공학부</t>
    <phoneticPr fontId="1" type="noConversion"/>
  </si>
  <si>
    <t>전기및제어공학과◆</t>
    <phoneticPr fontId="1" type="noConversion"/>
  </si>
  <si>
    <t>에너지ICT공학부◆</t>
    <phoneticPr fontId="1" type="noConversion"/>
  </si>
  <si>
    <t>컴퓨터정보보호학부◆</t>
    <phoneticPr fontId="1" type="noConversion"/>
  </si>
  <si>
    <t>건축공학과◆</t>
    <phoneticPr fontId="1" type="noConversion"/>
  </si>
  <si>
    <t>아동학과</t>
    <phoneticPr fontId="1" type="noConversion"/>
  </si>
  <si>
    <t>패션의류학과</t>
    <phoneticPr fontId="1" type="noConversion"/>
  </si>
  <si>
    <t>식품영양학과★</t>
    <phoneticPr fontId="1" type="noConversion"/>
  </si>
  <si>
    <t>대학수학능력시험(100%)
환산총점</t>
    <phoneticPr fontId="1" type="noConversion"/>
  </si>
  <si>
    <t>대학</t>
    <phoneticPr fontId="1" type="noConversion"/>
  </si>
  <si>
    <t>인문대학</t>
    <phoneticPr fontId="1" type="noConversion"/>
  </si>
  <si>
    <t>사회과학대학</t>
    <phoneticPr fontId="1" type="noConversion"/>
  </si>
  <si>
    <t>사회과학대학</t>
    <phoneticPr fontId="1" type="noConversion"/>
  </si>
  <si>
    <t>사회과학대학</t>
    <phoneticPr fontId="1" type="noConversion"/>
  </si>
  <si>
    <t>자연과학대학</t>
    <phoneticPr fontId="1" type="noConversion"/>
  </si>
  <si>
    <t>공과대학</t>
    <phoneticPr fontId="1" type="noConversion"/>
  </si>
  <si>
    <t>공과대학</t>
    <phoneticPr fontId="1" type="noConversion"/>
  </si>
  <si>
    <t>공과대학</t>
    <phoneticPr fontId="1" type="noConversion"/>
  </si>
  <si>
    <t>공과대학</t>
    <phoneticPr fontId="1" type="noConversion"/>
  </si>
  <si>
    <t>경영대학</t>
    <phoneticPr fontId="1" type="noConversion"/>
  </si>
  <si>
    <t>경영대학</t>
    <phoneticPr fontId="1" type="noConversion"/>
  </si>
  <si>
    <t>사범대학</t>
    <phoneticPr fontId="1" type="noConversion"/>
  </si>
  <si>
    <t>사범대학</t>
    <phoneticPr fontId="1" type="noConversion"/>
  </si>
  <si>
    <t>★ 표시는 교직과정 설치학과 이며, ◆는 공학인증제 운영 학과임</t>
    <phoneticPr fontId="1" type="noConversion"/>
  </si>
  <si>
    <r>
      <t>컴퓨터공학과</t>
    </r>
    <r>
      <rPr>
        <sz val="11"/>
        <color rgb="FF663333"/>
        <rFont val="맑은 고딕"/>
        <family val="3"/>
        <charset val="129"/>
        <scheme val="minor"/>
      </rPr>
      <t>◆</t>
    </r>
    <phoneticPr fontId="1" type="noConversion"/>
  </si>
  <si>
    <t>대학</t>
    <phoneticPr fontId="1" type="noConversion"/>
  </si>
  <si>
    <t>인문대학</t>
    <phoneticPr fontId="1" type="noConversion"/>
  </si>
  <si>
    <t>인문대학</t>
    <phoneticPr fontId="1" type="noConversion"/>
  </si>
  <si>
    <t>인문대학</t>
    <phoneticPr fontId="1" type="noConversion"/>
  </si>
  <si>
    <t>인문대학</t>
    <phoneticPr fontId="1" type="noConversion"/>
  </si>
  <si>
    <t>인문대학</t>
    <phoneticPr fontId="1" type="noConversion"/>
  </si>
  <si>
    <t>사회과학대학</t>
    <phoneticPr fontId="1" type="noConversion"/>
  </si>
  <si>
    <t>사회과학대학</t>
    <phoneticPr fontId="1" type="noConversion"/>
  </si>
  <si>
    <t>사회과학대학</t>
    <phoneticPr fontId="1" type="noConversion"/>
  </si>
  <si>
    <t>자연과학대학</t>
    <phoneticPr fontId="1" type="noConversion"/>
  </si>
  <si>
    <t>자연과학대학</t>
    <phoneticPr fontId="1" type="noConversion"/>
  </si>
  <si>
    <t>자연과학대학</t>
    <phoneticPr fontId="1" type="noConversion"/>
  </si>
  <si>
    <t>공과대학</t>
    <phoneticPr fontId="1" type="noConversion"/>
  </si>
  <si>
    <t>공과대학</t>
    <phoneticPr fontId="1" type="noConversion"/>
  </si>
  <si>
    <t>공과대학</t>
    <phoneticPr fontId="1" type="noConversion"/>
  </si>
  <si>
    <t>공과대학</t>
    <phoneticPr fontId="1" type="noConversion"/>
  </si>
  <si>
    <t>공과대학</t>
    <phoneticPr fontId="1" type="noConversion"/>
  </si>
  <si>
    <t>공과대학</t>
    <phoneticPr fontId="1" type="noConversion"/>
  </si>
  <si>
    <t>경영대학</t>
    <phoneticPr fontId="1" type="noConversion"/>
  </si>
  <si>
    <t>경영대학</t>
    <phoneticPr fontId="1" type="noConversion"/>
  </si>
  <si>
    <t>생활과학예술체육대학</t>
    <phoneticPr fontId="1" type="noConversion"/>
  </si>
  <si>
    <t>생활과학예술체육대학</t>
    <phoneticPr fontId="1" type="noConversion"/>
  </si>
  <si>
    <t>생활과학예술체육대학</t>
    <phoneticPr fontId="1" type="noConversion"/>
  </si>
  <si>
    <t>생활과학예술체육대학</t>
    <phoneticPr fontId="1" type="noConversion"/>
  </si>
  <si>
    <t>생활과학예술체육대학</t>
    <phoneticPr fontId="1" type="noConversion"/>
  </si>
  <si>
    <t>사범대학</t>
    <phoneticPr fontId="1" type="noConversion"/>
  </si>
  <si>
    <t>사범대학</t>
    <phoneticPr fontId="1" type="noConversion"/>
  </si>
  <si>
    <t>사범대학</t>
    <phoneticPr fontId="1" type="noConversion"/>
  </si>
  <si>
    <t>★ 표시는 교직과정 설치학과 이며, ◆는 공학인증제 운영 학과임</t>
    <phoneticPr fontId="1" type="noConversion"/>
  </si>
  <si>
    <t>2020학년도 목포대학교 정시 다군 입학전형 결과</t>
    <phoneticPr fontId="1" type="noConversion"/>
  </si>
  <si>
    <t>* 입시 결과는 등록자 기준임(등록자가 1명인 모집단위는 성적을 공개하지 않음)</t>
    <phoneticPr fontId="1" type="noConversion"/>
  </si>
  <si>
    <t>* 또한 등록자가 2명인 모집단위도 평균점수만 공개함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</si>
</sst>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0.00_ "/>
    <numFmt numFmtId="177" formatCode="#,##0.00_ "/>
    <numFmt numFmtId="178" formatCode="#,##0_ "/>
    <numFmt numFmtId="179" formatCode="0_);[Red]\(0\)"/>
    <numFmt numFmtId="180" formatCode="#,##0_);[Red]\(#,##0\)"/>
    <numFmt numFmtId="181" formatCode="0.00_);[Red]\(0.00\)"/>
    <numFmt numFmtId="182" formatCode="_-* #,##0.00_-;\-* #,##0.00_-;_-* &quot;-&quot;_-;_-@_-"/>
  </numFmts>
  <fonts count="4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8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663333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1"/>
      <color theme="3" tint="-0.499984740745262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indexed="64"/>
      </diagonal>
    </border>
    <border diagonalUp="1" diagonalDown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48">
    <xf numFmtId="0" fontId="0" fillId="0" borderId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7" fillId="0" borderId="0"/>
    <xf numFmtId="0" fontId="29" fillId="0" borderId="0" applyNumberFormat="0" applyFill="0" applyBorder="0" applyAlignment="0" applyProtection="0">
      <alignment vertical="center"/>
    </xf>
    <xf numFmtId="0" fontId="30" fillId="0" borderId="1" applyNumberFormat="0" applyFill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5" borderId="4" applyNumberFormat="0" applyAlignment="0" applyProtection="0">
      <alignment vertical="center"/>
    </xf>
    <xf numFmtId="0" fontId="37" fillId="6" borderId="5" applyNumberFormat="0" applyAlignment="0" applyProtection="0">
      <alignment vertical="center"/>
    </xf>
    <xf numFmtId="0" fontId="38" fillId="6" borderId="4" applyNumberFormat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0" borderId="0"/>
    <xf numFmtId="0" fontId="45" fillId="0" borderId="0"/>
    <xf numFmtId="0" fontId="26" fillId="0" borderId="0">
      <alignment vertical="center"/>
    </xf>
    <xf numFmtId="0" fontId="26" fillId="8" borderId="8" applyNumberFormat="0" applyFont="0" applyAlignment="0" applyProtection="0">
      <alignment vertical="center"/>
    </xf>
    <xf numFmtId="0" fontId="45" fillId="0" borderId="0"/>
  </cellStyleXfs>
  <cellXfs count="9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45" fillId="0" borderId="18" xfId="1347" applyNumberForma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45" fillId="0" borderId="24" xfId="1347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79" fontId="3" fillId="0" borderId="17" xfId="379" applyNumberFormat="1" applyFont="1" applyFill="1" applyBorder="1" applyAlignment="1">
      <alignment horizontal="center" vertical="center"/>
    </xf>
    <xf numFmtId="181" fontId="3" fillId="0" borderId="17" xfId="379" applyNumberFormat="1" applyFont="1" applyFill="1" applyBorder="1" applyAlignment="1">
      <alignment horizontal="center" vertical="center"/>
    </xf>
    <xf numFmtId="176" fontId="21" fillId="0" borderId="17" xfId="169" applyNumberFormat="1" applyFont="1" applyFill="1" applyBorder="1" applyAlignment="1">
      <alignment horizontal="center" vertical="center"/>
    </xf>
    <xf numFmtId="176" fontId="21" fillId="0" borderId="23" xfId="169" applyNumberFormat="1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22" fillId="0" borderId="18" xfId="0" applyFont="1" applyFill="1" applyBorder="1" applyAlignment="1">
      <alignment horizontal="justify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/>
    </xf>
    <xf numFmtId="177" fontId="4" fillId="0" borderId="18" xfId="0" applyNumberFormat="1" applyFont="1" applyFill="1" applyBorder="1" applyAlignment="1">
      <alignment horizontal="center" vertical="center"/>
    </xf>
    <xf numFmtId="178" fontId="4" fillId="0" borderId="18" xfId="0" applyNumberFormat="1" applyFont="1" applyFill="1" applyBorder="1" applyAlignment="1">
      <alignment horizontal="center" vertical="center"/>
    </xf>
    <xf numFmtId="2" fontId="45" fillId="0" borderId="18" xfId="1343" applyNumberFormat="1" applyFont="1" applyFill="1" applyBorder="1" applyAlignment="1">
      <alignment horizontal="center" vertical="center"/>
    </xf>
    <xf numFmtId="2" fontId="0" fillId="0" borderId="18" xfId="0" applyNumberFormat="1" applyFont="1" applyFill="1" applyBorder="1" applyAlignment="1">
      <alignment horizontal="center" vertical="center"/>
    </xf>
    <xf numFmtId="0" fontId="24" fillId="33" borderId="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4" fillId="33" borderId="0" xfId="0" applyFont="1" applyFill="1" applyBorder="1" applyAlignment="1">
      <alignment vertical="center"/>
    </xf>
    <xf numFmtId="2" fontId="3" fillId="0" borderId="18" xfId="1343" applyNumberFormat="1" applyFont="1" applyFill="1" applyBorder="1" applyAlignment="1">
      <alignment horizontal="center" vertical="center"/>
    </xf>
    <xf numFmtId="0" fontId="3" fillId="34" borderId="18" xfId="0" applyFont="1" applyFill="1" applyBorder="1" applyAlignment="1">
      <alignment horizontal="center" vertical="center" wrapText="1"/>
    </xf>
    <xf numFmtId="0" fontId="3" fillId="34" borderId="11" xfId="0" applyFont="1" applyFill="1" applyBorder="1" applyAlignment="1">
      <alignment horizontal="centerContinuous" vertical="center" wrapText="1"/>
    </xf>
    <xf numFmtId="0" fontId="3" fillId="34" borderId="11" xfId="0" applyFont="1" applyFill="1" applyBorder="1" applyAlignment="1">
      <alignment horizontal="centerContinuous" vertical="distributed"/>
    </xf>
    <xf numFmtId="0" fontId="3" fillId="34" borderId="11" xfId="0" applyFont="1" applyFill="1" applyBorder="1" applyAlignment="1">
      <alignment horizontal="centerContinuous" vertical="center"/>
    </xf>
    <xf numFmtId="0" fontId="3" fillId="34" borderId="12" xfId="0" applyFont="1" applyFill="1" applyBorder="1" applyAlignment="1">
      <alignment horizontal="centerContinuous" vertical="center"/>
    </xf>
    <xf numFmtId="0" fontId="3" fillId="34" borderId="20" xfId="0" applyFont="1" applyFill="1" applyBorder="1" applyAlignment="1">
      <alignment horizontal="center" vertical="center" wrapText="1"/>
    </xf>
    <xf numFmtId="2" fontId="3" fillId="0" borderId="20" xfId="0" applyNumberFormat="1" applyFont="1" applyFill="1" applyBorder="1" applyAlignment="1">
      <alignment horizontal="center" vertical="center"/>
    </xf>
    <xf numFmtId="178" fontId="4" fillId="0" borderId="14" xfId="0" applyNumberFormat="1" applyFont="1" applyFill="1" applyBorder="1" applyAlignment="1">
      <alignment horizontal="center" vertical="center"/>
    </xf>
    <xf numFmtId="0" fontId="20" fillId="0" borderId="17" xfId="0" applyFont="1" applyFill="1" applyBorder="1" applyAlignment="1">
      <alignment horizontal="center" vertical="center" wrapText="1"/>
    </xf>
    <xf numFmtId="179" fontId="20" fillId="0" borderId="17" xfId="379" applyNumberFormat="1" applyFont="1" applyFill="1" applyBorder="1" applyAlignment="1">
      <alignment horizontal="center" vertical="center" wrapText="1"/>
    </xf>
    <xf numFmtId="178" fontId="4" fillId="0" borderId="17" xfId="0" applyNumberFormat="1" applyFont="1" applyFill="1" applyBorder="1" applyAlignment="1">
      <alignment horizontal="center" vertical="center"/>
    </xf>
    <xf numFmtId="0" fontId="22" fillId="0" borderId="14" xfId="0" applyFont="1" applyFill="1" applyBorder="1" applyAlignment="1">
      <alignment horizontal="justify" vertical="center" wrapText="1"/>
    </xf>
    <xf numFmtId="0" fontId="22" fillId="0" borderId="14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/>
    </xf>
    <xf numFmtId="177" fontId="4" fillId="0" borderId="14" xfId="0" applyNumberFormat="1" applyFont="1" applyFill="1" applyBorder="1" applyAlignment="1">
      <alignment horizontal="center" vertical="center"/>
    </xf>
    <xf numFmtId="2" fontId="45" fillId="0" borderId="28" xfId="1343" applyNumberFormat="1" applyFont="1" applyFill="1" applyBorder="1" applyAlignment="1">
      <alignment horizontal="center" vertical="center"/>
    </xf>
    <xf numFmtId="2" fontId="3" fillId="0" borderId="14" xfId="1343" applyNumberFormat="1" applyFont="1" applyFill="1" applyBorder="1" applyAlignment="1">
      <alignment horizontal="center" vertical="center"/>
    </xf>
    <xf numFmtId="2" fontId="0" fillId="0" borderId="28" xfId="0" applyNumberFormat="1" applyFont="1" applyFill="1" applyBorder="1" applyAlignment="1">
      <alignment horizontal="center" vertical="center"/>
    </xf>
    <xf numFmtId="2" fontId="3" fillId="0" borderId="15" xfId="0" applyNumberFormat="1" applyFont="1" applyFill="1" applyBorder="1" applyAlignment="1">
      <alignment horizontal="center" vertical="center"/>
    </xf>
    <xf numFmtId="0" fontId="0" fillId="0" borderId="19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2" fontId="0" fillId="0" borderId="18" xfId="0" applyNumberForma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/>
    </xf>
    <xf numFmtId="2" fontId="0" fillId="0" borderId="18" xfId="0" applyNumberFormat="1" applyFill="1" applyBorder="1" applyAlignment="1">
      <alignment horizontal="center" vertical="center"/>
    </xf>
    <xf numFmtId="2" fontId="0" fillId="0" borderId="24" xfId="0" applyNumberForma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21" xfId="0" applyFill="1" applyBorder="1">
      <alignment vertical="center"/>
    </xf>
    <xf numFmtId="0" fontId="22" fillId="0" borderId="16" xfId="0" applyFont="1" applyFill="1" applyBorder="1" applyAlignment="1">
      <alignment horizontal="justify" vertical="center" wrapText="1"/>
    </xf>
    <xf numFmtId="0" fontId="0" fillId="0" borderId="16" xfId="0" applyFill="1" applyBorder="1" applyAlignment="1">
      <alignment horizontal="center" vertical="center" wrapText="1"/>
    </xf>
    <xf numFmtId="2" fontId="4" fillId="0" borderId="16" xfId="0" applyNumberFormat="1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2" fontId="45" fillId="0" borderId="16" xfId="1347" applyNumberFormat="1" applyFill="1" applyBorder="1" applyAlignment="1">
      <alignment horizontal="center" vertical="center"/>
    </xf>
    <xf numFmtId="2" fontId="0" fillId="0" borderId="16" xfId="0" applyNumberFormat="1" applyFill="1" applyBorder="1" applyAlignment="1">
      <alignment horizontal="center" vertical="center"/>
    </xf>
    <xf numFmtId="180" fontId="20" fillId="0" borderId="30" xfId="379" applyNumberFormat="1" applyFont="1" applyFill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center" vertical="center" wrapText="1"/>
    </xf>
    <xf numFmtId="41" fontId="3" fillId="0" borderId="30" xfId="379" applyFont="1" applyFill="1" applyBorder="1" applyAlignment="1">
      <alignment horizontal="center" vertical="center"/>
    </xf>
    <xf numFmtId="182" fontId="3" fillId="0" borderId="30" xfId="379" applyNumberFormat="1" applyFont="1" applyFill="1" applyBorder="1" applyAlignment="1">
      <alignment horizontal="center" vertical="center"/>
    </xf>
    <xf numFmtId="178" fontId="4" fillId="0" borderId="30" xfId="0" applyNumberFormat="1" applyFont="1" applyFill="1" applyBorder="1" applyAlignment="1">
      <alignment horizontal="center" vertical="center"/>
    </xf>
    <xf numFmtId="176" fontId="21" fillId="0" borderId="30" xfId="169" applyNumberFormat="1" applyFont="1" applyFill="1" applyBorder="1" applyAlignment="1">
      <alignment horizontal="center" vertical="center"/>
    </xf>
    <xf numFmtId="2" fontId="21" fillId="0" borderId="30" xfId="169" applyNumberFormat="1" applyFont="1" applyFill="1" applyBorder="1" applyAlignment="1">
      <alignment horizontal="center" vertical="center"/>
    </xf>
    <xf numFmtId="2" fontId="21" fillId="0" borderId="31" xfId="169" applyNumberFormat="1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 wrapText="1"/>
    </xf>
    <xf numFmtId="2" fontId="3" fillId="0" borderId="18" xfId="1347" applyNumberFormat="1" applyFont="1" applyFill="1" applyBorder="1" applyAlignment="1">
      <alignment horizontal="center" vertical="center"/>
    </xf>
    <xf numFmtId="2" fontId="3" fillId="0" borderId="24" xfId="1347" applyNumberFormat="1" applyFont="1" applyFill="1" applyBorder="1" applyAlignment="1">
      <alignment horizontal="center" vertical="center"/>
    </xf>
    <xf numFmtId="2" fontId="3" fillId="0" borderId="16" xfId="1347" applyNumberFormat="1" applyFont="1" applyFill="1" applyBorder="1" applyAlignment="1">
      <alignment horizontal="center" vertical="center"/>
    </xf>
    <xf numFmtId="2" fontId="3" fillId="0" borderId="25" xfId="0" applyNumberFormat="1" applyFont="1" applyFill="1" applyBorder="1" applyAlignment="1">
      <alignment horizontal="center" vertical="center"/>
    </xf>
    <xf numFmtId="2" fontId="3" fillId="0" borderId="22" xfId="0" applyNumberFormat="1" applyFont="1" applyFill="1" applyBorder="1" applyAlignment="1">
      <alignment horizontal="center" vertical="center"/>
    </xf>
    <xf numFmtId="0" fontId="21" fillId="0" borderId="0" xfId="1" applyFont="1" applyBorder="1" applyAlignment="1">
      <alignment vertical="center"/>
    </xf>
    <xf numFmtId="0" fontId="46" fillId="0" borderId="0" xfId="1" applyFont="1" applyBorder="1" applyAlignment="1">
      <alignment vertical="center"/>
    </xf>
    <xf numFmtId="0" fontId="3" fillId="34" borderId="11" xfId="0" applyFont="1" applyFill="1" applyBorder="1" applyAlignment="1">
      <alignment horizontal="center" vertical="center" wrapText="1"/>
    </xf>
    <xf numFmtId="0" fontId="3" fillId="34" borderId="18" xfId="0" applyFont="1" applyFill="1" applyBorder="1" applyAlignment="1">
      <alignment horizontal="center" vertical="center" wrapText="1"/>
    </xf>
    <xf numFmtId="0" fontId="20" fillId="0" borderId="26" xfId="0" applyFont="1" applyFill="1" applyBorder="1" applyAlignment="1">
      <alignment horizontal="center" vertical="center" wrapText="1"/>
    </xf>
    <xf numFmtId="0" fontId="20" fillId="0" borderId="2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34" borderId="11" xfId="0" applyFont="1" applyFill="1" applyBorder="1" applyAlignment="1">
      <alignment horizontal="center" vertical="center"/>
    </xf>
    <xf numFmtId="0" fontId="3" fillId="34" borderId="18" xfId="0" applyFont="1" applyFill="1" applyBorder="1" applyAlignment="1">
      <alignment horizontal="center" vertical="center"/>
    </xf>
    <xf numFmtId="0" fontId="3" fillId="34" borderId="10" xfId="0" applyFont="1" applyFill="1" applyBorder="1" applyAlignment="1">
      <alignment horizontal="center" vertical="center"/>
    </xf>
    <xf numFmtId="0" fontId="3" fillId="34" borderId="19" xfId="0" applyFont="1" applyFill="1" applyBorder="1" applyAlignment="1">
      <alignment horizontal="center" vertical="center"/>
    </xf>
    <xf numFmtId="0" fontId="20" fillId="0" borderId="27" xfId="0" applyFont="1" applyFill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center" vertical="center" wrapText="1"/>
    </xf>
    <xf numFmtId="0" fontId="3" fillId="34" borderId="12" xfId="0" applyFont="1" applyFill="1" applyBorder="1" applyAlignment="1">
      <alignment horizontal="center" vertical="center"/>
    </xf>
    <xf numFmtId="0" fontId="22" fillId="0" borderId="18" xfId="0" applyFont="1" applyFill="1" applyBorder="1" applyAlignment="1">
      <alignment horizontal="center" vertical="center" wrapText="1"/>
    </xf>
  </cellXfs>
  <cellStyles count="1348">
    <cellStyle name="20% - 강조색1" xfId="1320" builtinId="30" customBuiltin="1"/>
    <cellStyle name="20% - 강조색1 10" xfId="171"/>
    <cellStyle name="20% - 강조색1 11" xfId="381"/>
    <cellStyle name="20% - 강조색1 12" xfId="423"/>
    <cellStyle name="20% - 강조색1 13" xfId="465"/>
    <cellStyle name="20% - 강조색1 14" xfId="507"/>
    <cellStyle name="20% - 강조색1 15" xfId="549"/>
    <cellStyle name="20% - 강조색1 16" xfId="590"/>
    <cellStyle name="20% - 강조색1 17" xfId="632"/>
    <cellStyle name="20% - 강조색1 18" xfId="674"/>
    <cellStyle name="20% - 강조색1 19" xfId="716"/>
    <cellStyle name="20% - 강조색1 2" xfId="2"/>
    <cellStyle name="20% - 강조색1 20" xfId="758"/>
    <cellStyle name="20% - 강조색1 21" xfId="800"/>
    <cellStyle name="20% - 강조색1 22" xfId="842"/>
    <cellStyle name="20% - 강조색1 23" xfId="884"/>
    <cellStyle name="20% - 강조색1 24" xfId="926"/>
    <cellStyle name="20% - 강조색1 25" xfId="968"/>
    <cellStyle name="20% - 강조색1 26" xfId="1010"/>
    <cellStyle name="20% - 강조색1 27" xfId="1052"/>
    <cellStyle name="20% - 강조색1 28" xfId="1093"/>
    <cellStyle name="20% - 강조색1 29" xfId="1135"/>
    <cellStyle name="20% - 강조색1 3" xfId="44"/>
    <cellStyle name="20% - 강조색1 30" xfId="1177"/>
    <cellStyle name="20% - 강조색1 31" xfId="1219"/>
    <cellStyle name="20% - 강조색1 32" xfId="1261"/>
    <cellStyle name="20% - 강조색1 4" xfId="86"/>
    <cellStyle name="20% - 강조색1 5" xfId="128"/>
    <cellStyle name="20% - 강조색1 6" xfId="172"/>
    <cellStyle name="20% - 강조색1 7" xfId="173"/>
    <cellStyle name="20% - 강조색1 8" xfId="174"/>
    <cellStyle name="20% - 강조색1 9" xfId="175"/>
    <cellStyle name="20% - 강조색2" xfId="1324" builtinId="34" customBuiltin="1"/>
    <cellStyle name="20% - 강조색2 10" xfId="176"/>
    <cellStyle name="20% - 강조색2 11" xfId="382"/>
    <cellStyle name="20% - 강조색2 12" xfId="424"/>
    <cellStyle name="20% - 강조색2 13" xfId="466"/>
    <cellStyle name="20% - 강조색2 14" xfId="508"/>
    <cellStyle name="20% - 강조색2 15" xfId="550"/>
    <cellStyle name="20% - 강조색2 16" xfId="591"/>
    <cellStyle name="20% - 강조색2 17" xfId="633"/>
    <cellStyle name="20% - 강조색2 18" xfId="675"/>
    <cellStyle name="20% - 강조색2 19" xfId="717"/>
    <cellStyle name="20% - 강조색2 2" xfId="3"/>
    <cellStyle name="20% - 강조색2 20" xfId="759"/>
    <cellStyle name="20% - 강조색2 21" xfId="801"/>
    <cellStyle name="20% - 강조색2 22" xfId="843"/>
    <cellStyle name="20% - 강조색2 23" xfId="885"/>
    <cellStyle name="20% - 강조색2 24" xfId="927"/>
    <cellStyle name="20% - 강조색2 25" xfId="969"/>
    <cellStyle name="20% - 강조색2 26" xfId="1011"/>
    <cellStyle name="20% - 강조색2 27" xfId="1053"/>
    <cellStyle name="20% - 강조색2 28" xfId="1094"/>
    <cellStyle name="20% - 강조색2 29" xfId="1136"/>
    <cellStyle name="20% - 강조색2 3" xfId="45"/>
    <cellStyle name="20% - 강조색2 30" xfId="1178"/>
    <cellStyle name="20% - 강조색2 31" xfId="1220"/>
    <cellStyle name="20% - 강조색2 32" xfId="1262"/>
    <cellStyle name="20% - 강조색2 4" xfId="87"/>
    <cellStyle name="20% - 강조색2 5" xfId="129"/>
    <cellStyle name="20% - 강조색2 6" xfId="177"/>
    <cellStyle name="20% - 강조색2 7" xfId="178"/>
    <cellStyle name="20% - 강조색2 8" xfId="179"/>
    <cellStyle name="20% - 강조색2 9" xfId="180"/>
    <cellStyle name="20% - 강조색3" xfId="1328" builtinId="38" customBuiltin="1"/>
    <cellStyle name="20% - 강조색3 10" xfId="181"/>
    <cellStyle name="20% - 강조색3 11" xfId="383"/>
    <cellStyle name="20% - 강조색3 12" xfId="425"/>
    <cellStyle name="20% - 강조색3 13" xfId="467"/>
    <cellStyle name="20% - 강조색3 14" xfId="509"/>
    <cellStyle name="20% - 강조색3 15" xfId="551"/>
    <cellStyle name="20% - 강조색3 16" xfId="592"/>
    <cellStyle name="20% - 강조색3 17" xfId="634"/>
    <cellStyle name="20% - 강조색3 18" xfId="676"/>
    <cellStyle name="20% - 강조색3 19" xfId="718"/>
    <cellStyle name="20% - 강조색3 2" xfId="4"/>
    <cellStyle name="20% - 강조색3 20" xfId="760"/>
    <cellStyle name="20% - 강조색3 21" xfId="802"/>
    <cellStyle name="20% - 강조색3 22" xfId="844"/>
    <cellStyle name="20% - 강조색3 23" xfId="886"/>
    <cellStyle name="20% - 강조색3 24" xfId="928"/>
    <cellStyle name="20% - 강조색3 25" xfId="970"/>
    <cellStyle name="20% - 강조색3 26" xfId="1012"/>
    <cellStyle name="20% - 강조색3 27" xfId="1054"/>
    <cellStyle name="20% - 강조색3 28" xfId="1095"/>
    <cellStyle name="20% - 강조색3 29" xfId="1137"/>
    <cellStyle name="20% - 강조색3 3" xfId="46"/>
    <cellStyle name="20% - 강조색3 30" xfId="1179"/>
    <cellStyle name="20% - 강조색3 31" xfId="1221"/>
    <cellStyle name="20% - 강조색3 32" xfId="1263"/>
    <cellStyle name="20% - 강조색3 4" xfId="88"/>
    <cellStyle name="20% - 강조색3 5" xfId="130"/>
    <cellStyle name="20% - 강조색3 6" xfId="182"/>
    <cellStyle name="20% - 강조색3 7" xfId="183"/>
    <cellStyle name="20% - 강조색3 8" xfId="184"/>
    <cellStyle name="20% - 강조색3 9" xfId="185"/>
    <cellStyle name="20% - 강조색4" xfId="1332" builtinId="42" customBuiltin="1"/>
    <cellStyle name="20% - 강조색4 10" xfId="186"/>
    <cellStyle name="20% - 강조색4 11" xfId="384"/>
    <cellStyle name="20% - 강조색4 12" xfId="426"/>
    <cellStyle name="20% - 강조색4 13" xfId="468"/>
    <cellStyle name="20% - 강조색4 14" xfId="510"/>
    <cellStyle name="20% - 강조색4 15" xfId="552"/>
    <cellStyle name="20% - 강조색4 16" xfId="593"/>
    <cellStyle name="20% - 강조색4 17" xfId="635"/>
    <cellStyle name="20% - 강조색4 18" xfId="677"/>
    <cellStyle name="20% - 강조색4 19" xfId="719"/>
    <cellStyle name="20% - 강조색4 2" xfId="5"/>
    <cellStyle name="20% - 강조색4 20" xfId="761"/>
    <cellStyle name="20% - 강조색4 21" xfId="803"/>
    <cellStyle name="20% - 강조색4 22" xfId="845"/>
    <cellStyle name="20% - 강조색4 23" xfId="887"/>
    <cellStyle name="20% - 강조색4 24" xfId="929"/>
    <cellStyle name="20% - 강조색4 25" xfId="971"/>
    <cellStyle name="20% - 강조색4 26" xfId="1013"/>
    <cellStyle name="20% - 강조색4 27" xfId="1055"/>
    <cellStyle name="20% - 강조색4 28" xfId="1096"/>
    <cellStyle name="20% - 강조색4 29" xfId="1138"/>
    <cellStyle name="20% - 강조색4 3" xfId="47"/>
    <cellStyle name="20% - 강조색4 30" xfId="1180"/>
    <cellStyle name="20% - 강조색4 31" xfId="1222"/>
    <cellStyle name="20% - 강조색4 32" xfId="1264"/>
    <cellStyle name="20% - 강조색4 4" xfId="89"/>
    <cellStyle name="20% - 강조색4 5" xfId="131"/>
    <cellStyle name="20% - 강조색4 6" xfId="187"/>
    <cellStyle name="20% - 강조색4 7" xfId="188"/>
    <cellStyle name="20% - 강조색4 8" xfId="189"/>
    <cellStyle name="20% - 강조색4 9" xfId="190"/>
    <cellStyle name="20% - 강조색5" xfId="1336" builtinId="46" customBuiltin="1"/>
    <cellStyle name="20% - 강조색5 10" xfId="191"/>
    <cellStyle name="20% - 강조색5 11" xfId="385"/>
    <cellStyle name="20% - 강조색5 12" xfId="427"/>
    <cellStyle name="20% - 강조색5 13" xfId="469"/>
    <cellStyle name="20% - 강조색5 14" xfId="511"/>
    <cellStyle name="20% - 강조색5 15" xfId="553"/>
    <cellStyle name="20% - 강조색5 16" xfId="594"/>
    <cellStyle name="20% - 강조색5 17" xfId="636"/>
    <cellStyle name="20% - 강조색5 18" xfId="678"/>
    <cellStyle name="20% - 강조색5 19" xfId="720"/>
    <cellStyle name="20% - 강조색5 2" xfId="6"/>
    <cellStyle name="20% - 강조색5 20" xfId="762"/>
    <cellStyle name="20% - 강조색5 21" xfId="804"/>
    <cellStyle name="20% - 강조색5 22" xfId="846"/>
    <cellStyle name="20% - 강조색5 23" xfId="888"/>
    <cellStyle name="20% - 강조색5 24" xfId="930"/>
    <cellStyle name="20% - 강조색5 25" xfId="972"/>
    <cellStyle name="20% - 강조색5 26" xfId="1014"/>
    <cellStyle name="20% - 강조색5 27" xfId="1056"/>
    <cellStyle name="20% - 강조색5 28" xfId="1097"/>
    <cellStyle name="20% - 강조색5 29" xfId="1139"/>
    <cellStyle name="20% - 강조색5 3" xfId="48"/>
    <cellStyle name="20% - 강조색5 30" xfId="1181"/>
    <cellStyle name="20% - 강조색5 31" xfId="1223"/>
    <cellStyle name="20% - 강조색5 32" xfId="1265"/>
    <cellStyle name="20% - 강조색5 4" xfId="90"/>
    <cellStyle name="20% - 강조색5 5" xfId="132"/>
    <cellStyle name="20% - 강조색5 6" xfId="192"/>
    <cellStyle name="20% - 강조색5 7" xfId="193"/>
    <cellStyle name="20% - 강조색5 8" xfId="194"/>
    <cellStyle name="20% - 강조색5 9" xfId="195"/>
    <cellStyle name="20% - 강조색6" xfId="1340" builtinId="50" customBuiltin="1"/>
    <cellStyle name="20% - 강조색6 10" xfId="196"/>
    <cellStyle name="20% - 강조색6 11" xfId="386"/>
    <cellStyle name="20% - 강조색6 12" xfId="428"/>
    <cellStyle name="20% - 강조색6 13" xfId="470"/>
    <cellStyle name="20% - 강조색6 14" xfId="512"/>
    <cellStyle name="20% - 강조색6 15" xfId="554"/>
    <cellStyle name="20% - 강조색6 16" xfId="595"/>
    <cellStyle name="20% - 강조색6 17" xfId="637"/>
    <cellStyle name="20% - 강조색6 18" xfId="679"/>
    <cellStyle name="20% - 강조색6 19" xfId="721"/>
    <cellStyle name="20% - 강조색6 2" xfId="7"/>
    <cellStyle name="20% - 강조색6 20" xfId="763"/>
    <cellStyle name="20% - 강조색6 21" xfId="805"/>
    <cellStyle name="20% - 강조색6 22" xfId="847"/>
    <cellStyle name="20% - 강조색6 23" xfId="889"/>
    <cellStyle name="20% - 강조색6 24" xfId="931"/>
    <cellStyle name="20% - 강조색6 25" xfId="973"/>
    <cellStyle name="20% - 강조색6 26" xfId="1015"/>
    <cellStyle name="20% - 강조색6 27" xfId="1057"/>
    <cellStyle name="20% - 강조색6 28" xfId="1098"/>
    <cellStyle name="20% - 강조색6 29" xfId="1140"/>
    <cellStyle name="20% - 강조색6 3" xfId="49"/>
    <cellStyle name="20% - 강조색6 30" xfId="1182"/>
    <cellStyle name="20% - 강조색6 31" xfId="1224"/>
    <cellStyle name="20% - 강조색6 32" xfId="1266"/>
    <cellStyle name="20% - 강조색6 4" xfId="91"/>
    <cellStyle name="20% - 강조색6 5" xfId="133"/>
    <cellStyle name="20% - 강조색6 6" xfId="197"/>
    <cellStyle name="20% - 강조색6 7" xfId="198"/>
    <cellStyle name="20% - 강조색6 8" xfId="199"/>
    <cellStyle name="20% - 강조색6 9" xfId="200"/>
    <cellStyle name="40% - 강조색1" xfId="1321" builtinId="31" customBuiltin="1"/>
    <cellStyle name="40% - 강조색1 10" xfId="201"/>
    <cellStyle name="40% - 강조색1 11" xfId="387"/>
    <cellStyle name="40% - 강조색1 12" xfId="429"/>
    <cellStyle name="40% - 강조색1 13" xfId="471"/>
    <cellStyle name="40% - 강조색1 14" xfId="513"/>
    <cellStyle name="40% - 강조색1 15" xfId="555"/>
    <cellStyle name="40% - 강조색1 16" xfId="596"/>
    <cellStyle name="40% - 강조색1 17" xfId="638"/>
    <cellStyle name="40% - 강조색1 18" xfId="680"/>
    <cellStyle name="40% - 강조색1 19" xfId="722"/>
    <cellStyle name="40% - 강조색1 2" xfId="8"/>
    <cellStyle name="40% - 강조색1 20" xfId="764"/>
    <cellStyle name="40% - 강조색1 21" xfId="806"/>
    <cellStyle name="40% - 강조색1 22" xfId="848"/>
    <cellStyle name="40% - 강조색1 23" xfId="890"/>
    <cellStyle name="40% - 강조색1 24" xfId="932"/>
    <cellStyle name="40% - 강조색1 25" xfId="974"/>
    <cellStyle name="40% - 강조색1 26" xfId="1016"/>
    <cellStyle name="40% - 강조색1 27" xfId="1058"/>
    <cellStyle name="40% - 강조색1 28" xfId="1099"/>
    <cellStyle name="40% - 강조색1 29" xfId="1141"/>
    <cellStyle name="40% - 강조색1 3" xfId="50"/>
    <cellStyle name="40% - 강조색1 30" xfId="1183"/>
    <cellStyle name="40% - 강조색1 31" xfId="1225"/>
    <cellStyle name="40% - 강조색1 32" xfId="1267"/>
    <cellStyle name="40% - 강조색1 4" xfId="92"/>
    <cellStyle name="40% - 강조색1 5" xfId="134"/>
    <cellStyle name="40% - 강조색1 6" xfId="202"/>
    <cellStyle name="40% - 강조색1 7" xfId="203"/>
    <cellStyle name="40% - 강조색1 8" xfId="204"/>
    <cellStyle name="40% - 강조색1 9" xfId="205"/>
    <cellStyle name="40% - 강조색2" xfId="1325" builtinId="35" customBuiltin="1"/>
    <cellStyle name="40% - 강조색2 10" xfId="206"/>
    <cellStyle name="40% - 강조색2 11" xfId="388"/>
    <cellStyle name="40% - 강조색2 12" xfId="430"/>
    <cellStyle name="40% - 강조색2 13" xfId="472"/>
    <cellStyle name="40% - 강조색2 14" xfId="514"/>
    <cellStyle name="40% - 강조색2 15" xfId="556"/>
    <cellStyle name="40% - 강조색2 16" xfId="597"/>
    <cellStyle name="40% - 강조색2 17" xfId="639"/>
    <cellStyle name="40% - 강조색2 18" xfId="681"/>
    <cellStyle name="40% - 강조색2 19" xfId="723"/>
    <cellStyle name="40% - 강조색2 2" xfId="9"/>
    <cellStyle name="40% - 강조색2 20" xfId="765"/>
    <cellStyle name="40% - 강조색2 21" xfId="807"/>
    <cellStyle name="40% - 강조색2 22" xfId="849"/>
    <cellStyle name="40% - 강조색2 23" xfId="891"/>
    <cellStyle name="40% - 강조색2 24" xfId="933"/>
    <cellStyle name="40% - 강조색2 25" xfId="975"/>
    <cellStyle name="40% - 강조색2 26" xfId="1017"/>
    <cellStyle name="40% - 강조색2 27" xfId="1059"/>
    <cellStyle name="40% - 강조색2 28" xfId="1100"/>
    <cellStyle name="40% - 강조색2 29" xfId="1142"/>
    <cellStyle name="40% - 강조색2 3" xfId="51"/>
    <cellStyle name="40% - 강조색2 30" xfId="1184"/>
    <cellStyle name="40% - 강조색2 31" xfId="1226"/>
    <cellStyle name="40% - 강조색2 32" xfId="1268"/>
    <cellStyle name="40% - 강조색2 4" xfId="93"/>
    <cellStyle name="40% - 강조색2 5" xfId="135"/>
    <cellStyle name="40% - 강조색2 6" xfId="207"/>
    <cellStyle name="40% - 강조색2 7" xfId="208"/>
    <cellStyle name="40% - 강조색2 8" xfId="209"/>
    <cellStyle name="40% - 강조색2 9" xfId="210"/>
    <cellStyle name="40% - 강조색3" xfId="1329" builtinId="39" customBuiltin="1"/>
    <cellStyle name="40% - 강조색3 10" xfId="211"/>
    <cellStyle name="40% - 강조색3 11" xfId="389"/>
    <cellStyle name="40% - 강조색3 12" xfId="431"/>
    <cellStyle name="40% - 강조색3 13" xfId="473"/>
    <cellStyle name="40% - 강조색3 14" xfId="515"/>
    <cellStyle name="40% - 강조색3 15" xfId="557"/>
    <cellStyle name="40% - 강조색3 16" xfId="598"/>
    <cellStyle name="40% - 강조색3 17" xfId="640"/>
    <cellStyle name="40% - 강조색3 18" xfId="682"/>
    <cellStyle name="40% - 강조색3 19" xfId="724"/>
    <cellStyle name="40% - 강조색3 2" xfId="10"/>
    <cellStyle name="40% - 강조색3 20" xfId="766"/>
    <cellStyle name="40% - 강조색3 21" xfId="808"/>
    <cellStyle name="40% - 강조색3 22" xfId="850"/>
    <cellStyle name="40% - 강조색3 23" xfId="892"/>
    <cellStyle name="40% - 강조색3 24" xfId="934"/>
    <cellStyle name="40% - 강조색3 25" xfId="976"/>
    <cellStyle name="40% - 강조색3 26" xfId="1018"/>
    <cellStyle name="40% - 강조색3 27" xfId="1060"/>
    <cellStyle name="40% - 강조색3 28" xfId="1101"/>
    <cellStyle name="40% - 강조색3 29" xfId="1143"/>
    <cellStyle name="40% - 강조색3 3" xfId="52"/>
    <cellStyle name="40% - 강조색3 30" xfId="1185"/>
    <cellStyle name="40% - 강조색3 31" xfId="1227"/>
    <cellStyle name="40% - 강조색3 32" xfId="1269"/>
    <cellStyle name="40% - 강조색3 4" xfId="94"/>
    <cellStyle name="40% - 강조색3 5" xfId="136"/>
    <cellStyle name="40% - 강조색3 6" xfId="212"/>
    <cellStyle name="40% - 강조색3 7" xfId="213"/>
    <cellStyle name="40% - 강조색3 8" xfId="214"/>
    <cellStyle name="40% - 강조색3 9" xfId="215"/>
    <cellStyle name="40% - 강조색4" xfId="1333" builtinId="43" customBuiltin="1"/>
    <cellStyle name="40% - 강조색4 10" xfId="216"/>
    <cellStyle name="40% - 강조색4 11" xfId="390"/>
    <cellStyle name="40% - 강조색4 12" xfId="432"/>
    <cellStyle name="40% - 강조색4 13" xfId="474"/>
    <cellStyle name="40% - 강조색4 14" xfId="516"/>
    <cellStyle name="40% - 강조색4 15" xfId="558"/>
    <cellStyle name="40% - 강조색4 16" xfId="599"/>
    <cellStyle name="40% - 강조색4 17" xfId="641"/>
    <cellStyle name="40% - 강조색4 18" xfId="683"/>
    <cellStyle name="40% - 강조색4 19" xfId="725"/>
    <cellStyle name="40% - 강조색4 2" xfId="11"/>
    <cellStyle name="40% - 강조색4 20" xfId="767"/>
    <cellStyle name="40% - 강조색4 21" xfId="809"/>
    <cellStyle name="40% - 강조색4 22" xfId="851"/>
    <cellStyle name="40% - 강조색4 23" xfId="893"/>
    <cellStyle name="40% - 강조색4 24" xfId="935"/>
    <cellStyle name="40% - 강조색4 25" xfId="977"/>
    <cellStyle name="40% - 강조색4 26" xfId="1019"/>
    <cellStyle name="40% - 강조색4 27" xfId="1061"/>
    <cellStyle name="40% - 강조색4 28" xfId="1102"/>
    <cellStyle name="40% - 강조색4 29" xfId="1144"/>
    <cellStyle name="40% - 강조색4 3" xfId="53"/>
    <cellStyle name="40% - 강조색4 30" xfId="1186"/>
    <cellStyle name="40% - 강조색4 31" xfId="1228"/>
    <cellStyle name="40% - 강조색4 32" xfId="1270"/>
    <cellStyle name="40% - 강조색4 4" xfId="95"/>
    <cellStyle name="40% - 강조색4 5" xfId="137"/>
    <cellStyle name="40% - 강조색4 6" xfId="217"/>
    <cellStyle name="40% - 강조색4 7" xfId="218"/>
    <cellStyle name="40% - 강조색4 8" xfId="219"/>
    <cellStyle name="40% - 강조색4 9" xfId="220"/>
    <cellStyle name="40% - 강조색5" xfId="1337" builtinId="47" customBuiltin="1"/>
    <cellStyle name="40% - 강조색5 10" xfId="221"/>
    <cellStyle name="40% - 강조색5 11" xfId="391"/>
    <cellStyle name="40% - 강조색5 12" xfId="433"/>
    <cellStyle name="40% - 강조색5 13" xfId="475"/>
    <cellStyle name="40% - 강조색5 14" xfId="517"/>
    <cellStyle name="40% - 강조색5 15" xfId="559"/>
    <cellStyle name="40% - 강조색5 16" xfId="600"/>
    <cellStyle name="40% - 강조색5 17" xfId="642"/>
    <cellStyle name="40% - 강조색5 18" xfId="684"/>
    <cellStyle name="40% - 강조색5 19" xfId="726"/>
    <cellStyle name="40% - 강조색5 2" xfId="12"/>
    <cellStyle name="40% - 강조색5 20" xfId="768"/>
    <cellStyle name="40% - 강조색5 21" xfId="810"/>
    <cellStyle name="40% - 강조색5 22" xfId="852"/>
    <cellStyle name="40% - 강조색5 23" xfId="894"/>
    <cellStyle name="40% - 강조색5 24" xfId="936"/>
    <cellStyle name="40% - 강조색5 25" xfId="978"/>
    <cellStyle name="40% - 강조색5 26" xfId="1020"/>
    <cellStyle name="40% - 강조색5 27" xfId="1062"/>
    <cellStyle name="40% - 강조색5 28" xfId="1103"/>
    <cellStyle name="40% - 강조색5 29" xfId="1145"/>
    <cellStyle name="40% - 강조색5 3" xfId="54"/>
    <cellStyle name="40% - 강조색5 30" xfId="1187"/>
    <cellStyle name="40% - 강조색5 31" xfId="1229"/>
    <cellStyle name="40% - 강조색5 32" xfId="1271"/>
    <cellStyle name="40% - 강조색5 4" xfId="96"/>
    <cellStyle name="40% - 강조색5 5" xfId="138"/>
    <cellStyle name="40% - 강조색5 6" xfId="222"/>
    <cellStyle name="40% - 강조색5 7" xfId="223"/>
    <cellStyle name="40% - 강조색5 8" xfId="224"/>
    <cellStyle name="40% - 강조색5 9" xfId="225"/>
    <cellStyle name="40% - 강조색6" xfId="1341" builtinId="51" customBuiltin="1"/>
    <cellStyle name="40% - 강조색6 10" xfId="226"/>
    <cellStyle name="40% - 강조색6 11" xfId="392"/>
    <cellStyle name="40% - 강조색6 12" xfId="434"/>
    <cellStyle name="40% - 강조색6 13" xfId="476"/>
    <cellStyle name="40% - 강조색6 14" xfId="518"/>
    <cellStyle name="40% - 강조색6 15" xfId="560"/>
    <cellStyle name="40% - 강조색6 16" xfId="601"/>
    <cellStyle name="40% - 강조색6 17" xfId="643"/>
    <cellStyle name="40% - 강조색6 18" xfId="685"/>
    <cellStyle name="40% - 강조색6 19" xfId="727"/>
    <cellStyle name="40% - 강조색6 2" xfId="13"/>
    <cellStyle name="40% - 강조색6 20" xfId="769"/>
    <cellStyle name="40% - 강조색6 21" xfId="811"/>
    <cellStyle name="40% - 강조색6 22" xfId="853"/>
    <cellStyle name="40% - 강조색6 23" xfId="895"/>
    <cellStyle name="40% - 강조색6 24" xfId="937"/>
    <cellStyle name="40% - 강조색6 25" xfId="979"/>
    <cellStyle name="40% - 강조색6 26" xfId="1021"/>
    <cellStyle name="40% - 강조색6 27" xfId="1063"/>
    <cellStyle name="40% - 강조색6 28" xfId="1104"/>
    <cellStyle name="40% - 강조색6 29" xfId="1146"/>
    <cellStyle name="40% - 강조색6 3" xfId="55"/>
    <cellStyle name="40% - 강조색6 30" xfId="1188"/>
    <cellStyle name="40% - 강조색6 31" xfId="1230"/>
    <cellStyle name="40% - 강조색6 32" xfId="1272"/>
    <cellStyle name="40% - 강조색6 4" xfId="97"/>
    <cellStyle name="40% - 강조색6 5" xfId="139"/>
    <cellStyle name="40% - 강조색6 6" xfId="227"/>
    <cellStyle name="40% - 강조색6 7" xfId="228"/>
    <cellStyle name="40% - 강조색6 8" xfId="229"/>
    <cellStyle name="40% - 강조색6 9" xfId="230"/>
    <cellStyle name="60% - 강조색1" xfId="1322" builtinId="32" customBuiltin="1"/>
    <cellStyle name="60% - 강조색1 10" xfId="231"/>
    <cellStyle name="60% - 강조색1 11" xfId="393"/>
    <cellStyle name="60% - 강조색1 12" xfId="435"/>
    <cellStyle name="60% - 강조색1 13" xfId="477"/>
    <cellStyle name="60% - 강조색1 14" xfId="519"/>
    <cellStyle name="60% - 강조색1 15" xfId="561"/>
    <cellStyle name="60% - 강조색1 16" xfId="602"/>
    <cellStyle name="60% - 강조색1 17" xfId="644"/>
    <cellStyle name="60% - 강조색1 18" xfId="686"/>
    <cellStyle name="60% - 강조색1 19" xfId="728"/>
    <cellStyle name="60% - 강조색1 2" xfId="14"/>
    <cellStyle name="60% - 강조색1 20" xfId="770"/>
    <cellStyle name="60% - 강조색1 21" xfId="812"/>
    <cellStyle name="60% - 강조색1 22" xfId="854"/>
    <cellStyle name="60% - 강조색1 23" xfId="896"/>
    <cellStyle name="60% - 강조색1 24" xfId="938"/>
    <cellStyle name="60% - 강조색1 25" xfId="980"/>
    <cellStyle name="60% - 강조색1 26" xfId="1022"/>
    <cellStyle name="60% - 강조색1 27" xfId="1064"/>
    <cellStyle name="60% - 강조색1 28" xfId="1105"/>
    <cellStyle name="60% - 강조색1 29" xfId="1147"/>
    <cellStyle name="60% - 강조색1 3" xfId="56"/>
    <cellStyle name="60% - 강조색1 30" xfId="1189"/>
    <cellStyle name="60% - 강조색1 31" xfId="1231"/>
    <cellStyle name="60% - 강조색1 32" xfId="1273"/>
    <cellStyle name="60% - 강조색1 4" xfId="98"/>
    <cellStyle name="60% - 강조색1 5" xfId="140"/>
    <cellStyle name="60% - 강조색1 6" xfId="232"/>
    <cellStyle name="60% - 강조색1 7" xfId="233"/>
    <cellStyle name="60% - 강조색1 8" xfId="234"/>
    <cellStyle name="60% - 강조색1 9" xfId="235"/>
    <cellStyle name="60% - 강조색2" xfId="1326" builtinId="36" customBuiltin="1"/>
    <cellStyle name="60% - 강조색2 10" xfId="236"/>
    <cellStyle name="60% - 강조색2 11" xfId="394"/>
    <cellStyle name="60% - 강조색2 12" xfId="436"/>
    <cellStyle name="60% - 강조색2 13" xfId="478"/>
    <cellStyle name="60% - 강조색2 14" xfId="520"/>
    <cellStyle name="60% - 강조색2 15" xfId="562"/>
    <cellStyle name="60% - 강조색2 16" xfId="603"/>
    <cellStyle name="60% - 강조색2 17" xfId="645"/>
    <cellStyle name="60% - 강조색2 18" xfId="687"/>
    <cellStyle name="60% - 강조색2 19" xfId="729"/>
    <cellStyle name="60% - 강조색2 2" xfId="15"/>
    <cellStyle name="60% - 강조색2 20" xfId="771"/>
    <cellStyle name="60% - 강조색2 21" xfId="813"/>
    <cellStyle name="60% - 강조색2 22" xfId="855"/>
    <cellStyle name="60% - 강조색2 23" xfId="897"/>
    <cellStyle name="60% - 강조색2 24" xfId="939"/>
    <cellStyle name="60% - 강조색2 25" xfId="981"/>
    <cellStyle name="60% - 강조색2 26" xfId="1023"/>
    <cellStyle name="60% - 강조색2 27" xfId="1065"/>
    <cellStyle name="60% - 강조색2 28" xfId="1106"/>
    <cellStyle name="60% - 강조색2 29" xfId="1148"/>
    <cellStyle name="60% - 강조색2 3" xfId="57"/>
    <cellStyle name="60% - 강조색2 30" xfId="1190"/>
    <cellStyle name="60% - 강조색2 31" xfId="1232"/>
    <cellStyle name="60% - 강조색2 32" xfId="1274"/>
    <cellStyle name="60% - 강조색2 4" xfId="99"/>
    <cellStyle name="60% - 강조색2 5" xfId="141"/>
    <cellStyle name="60% - 강조색2 6" xfId="237"/>
    <cellStyle name="60% - 강조색2 7" xfId="238"/>
    <cellStyle name="60% - 강조색2 8" xfId="239"/>
    <cellStyle name="60% - 강조색2 9" xfId="240"/>
    <cellStyle name="60% - 강조색3" xfId="1330" builtinId="40" customBuiltin="1"/>
    <cellStyle name="60% - 강조색3 10" xfId="241"/>
    <cellStyle name="60% - 강조색3 11" xfId="395"/>
    <cellStyle name="60% - 강조색3 12" xfId="437"/>
    <cellStyle name="60% - 강조색3 13" xfId="479"/>
    <cellStyle name="60% - 강조색3 14" xfId="521"/>
    <cellStyle name="60% - 강조색3 15" xfId="563"/>
    <cellStyle name="60% - 강조색3 16" xfId="604"/>
    <cellStyle name="60% - 강조색3 17" xfId="646"/>
    <cellStyle name="60% - 강조색3 18" xfId="688"/>
    <cellStyle name="60% - 강조색3 19" xfId="730"/>
    <cellStyle name="60% - 강조색3 2" xfId="16"/>
    <cellStyle name="60% - 강조색3 20" xfId="772"/>
    <cellStyle name="60% - 강조색3 21" xfId="814"/>
    <cellStyle name="60% - 강조색3 22" xfId="856"/>
    <cellStyle name="60% - 강조색3 23" xfId="898"/>
    <cellStyle name="60% - 강조색3 24" xfId="940"/>
    <cellStyle name="60% - 강조색3 25" xfId="982"/>
    <cellStyle name="60% - 강조색3 26" xfId="1024"/>
    <cellStyle name="60% - 강조색3 27" xfId="1066"/>
    <cellStyle name="60% - 강조색3 28" xfId="1107"/>
    <cellStyle name="60% - 강조색3 29" xfId="1149"/>
    <cellStyle name="60% - 강조색3 3" xfId="58"/>
    <cellStyle name="60% - 강조색3 30" xfId="1191"/>
    <cellStyle name="60% - 강조색3 31" xfId="1233"/>
    <cellStyle name="60% - 강조색3 32" xfId="1275"/>
    <cellStyle name="60% - 강조색3 4" xfId="100"/>
    <cellStyle name="60% - 강조색3 5" xfId="142"/>
    <cellStyle name="60% - 강조색3 6" xfId="242"/>
    <cellStyle name="60% - 강조색3 7" xfId="243"/>
    <cellStyle name="60% - 강조색3 8" xfId="244"/>
    <cellStyle name="60% - 강조색3 9" xfId="245"/>
    <cellStyle name="60% - 강조색4" xfId="1334" builtinId="44" customBuiltin="1"/>
    <cellStyle name="60% - 강조색4 10" xfId="246"/>
    <cellStyle name="60% - 강조색4 11" xfId="396"/>
    <cellStyle name="60% - 강조색4 12" xfId="438"/>
    <cellStyle name="60% - 강조색4 13" xfId="480"/>
    <cellStyle name="60% - 강조색4 14" xfId="522"/>
    <cellStyle name="60% - 강조색4 15" xfId="564"/>
    <cellStyle name="60% - 강조색4 16" xfId="605"/>
    <cellStyle name="60% - 강조색4 17" xfId="647"/>
    <cellStyle name="60% - 강조색4 18" xfId="689"/>
    <cellStyle name="60% - 강조색4 19" xfId="731"/>
    <cellStyle name="60% - 강조색4 2" xfId="17"/>
    <cellStyle name="60% - 강조색4 20" xfId="773"/>
    <cellStyle name="60% - 강조색4 21" xfId="815"/>
    <cellStyle name="60% - 강조색4 22" xfId="857"/>
    <cellStyle name="60% - 강조색4 23" xfId="899"/>
    <cellStyle name="60% - 강조색4 24" xfId="941"/>
    <cellStyle name="60% - 강조색4 25" xfId="983"/>
    <cellStyle name="60% - 강조색4 26" xfId="1025"/>
    <cellStyle name="60% - 강조색4 27" xfId="1067"/>
    <cellStyle name="60% - 강조색4 28" xfId="1108"/>
    <cellStyle name="60% - 강조색4 29" xfId="1150"/>
    <cellStyle name="60% - 강조색4 3" xfId="59"/>
    <cellStyle name="60% - 강조색4 30" xfId="1192"/>
    <cellStyle name="60% - 강조색4 31" xfId="1234"/>
    <cellStyle name="60% - 강조색4 32" xfId="1276"/>
    <cellStyle name="60% - 강조색4 4" xfId="101"/>
    <cellStyle name="60% - 강조색4 5" xfId="143"/>
    <cellStyle name="60% - 강조색4 6" xfId="247"/>
    <cellStyle name="60% - 강조색4 7" xfId="248"/>
    <cellStyle name="60% - 강조색4 8" xfId="249"/>
    <cellStyle name="60% - 강조색4 9" xfId="250"/>
    <cellStyle name="60% - 강조색5" xfId="1338" builtinId="48" customBuiltin="1"/>
    <cellStyle name="60% - 강조색5 10" xfId="251"/>
    <cellStyle name="60% - 강조색5 11" xfId="397"/>
    <cellStyle name="60% - 강조색5 12" xfId="439"/>
    <cellStyle name="60% - 강조색5 13" xfId="481"/>
    <cellStyle name="60% - 강조색5 14" xfId="523"/>
    <cellStyle name="60% - 강조색5 15" xfId="565"/>
    <cellStyle name="60% - 강조색5 16" xfId="606"/>
    <cellStyle name="60% - 강조색5 17" xfId="648"/>
    <cellStyle name="60% - 강조색5 18" xfId="690"/>
    <cellStyle name="60% - 강조색5 19" xfId="732"/>
    <cellStyle name="60% - 강조색5 2" xfId="18"/>
    <cellStyle name="60% - 강조색5 20" xfId="774"/>
    <cellStyle name="60% - 강조색5 21" xfId="816"/>
    <cellStyle name="60% - 강조색5 22" xfId="858"/>
    <cellStyle name="60% - 강조색5 23" xfId="900"/>
    <cellStyle name="60% - 강조색5 24" xfId="942"/>
    <cellStyle name="60% - 강조색5 25" xfId="984"/>
    <cellStyle name="60% - 강조색5 26" xfId="1026"/>
    <cellStyle name="60% - 강조색5 27" xfId="1068"/>
    <cellStyle name="60% - 강조색5 28" xfId="1109"/>
    <cellStyle name="60% - 강조색5 29" xfId="1151"/>
    <cellStyle name="60% - 강조색5 3" xfId="60"/>
    <cellStyle name="60% - 강조색5 30" xfId="1193"/>
    <cellStyle name="60% - 강조색5 31" xfId="1235"/>
    <cellStyle name="60% - 강조색5 32" xfId="1277"/>
    <cellStyle name="60% - 강조색5 4" xfId="102"/>
    <cellStyle name="60% - 강조색5 5" xfId="144"/>
    <cellStyle name="60% - 강조색5 6" xfId="252"/>
    <cellStyle name="60% - 강조색5 7" xfId="253"/>
    <cellStyle name="60% - 강조색5 8" xfId="254"/>
    <cellStyle name="60% - 강조색5 9" xfId="255"/>
    <cellStyle name="60% - 강조색6" xfId="1342" builtinId="52" customBuiltin="1"/>
    <cellStyle name="60% - 강조색6 10" xfId="256"/>
    <cellStyle name="60% - 강조색6 11" xfId="398"/>
    <cellStyle name="60% - 강조색6 12" xfId="440"/>
    <cellStyle name="60% - 강조색6 13" xfId="482"/>
    <cellStyle name="60% - 강조색6 14" xfId="524"/>
    <cellStyle name="60% - 강조색6 15" xfId="566"/>
    <cellStyle name="60% - 강조색6 16" xfId="607"/>
    <cellStyle name="60% - 강조색6 17" xfId="649"/>
    <cellStyle name="60% - 강조색6 18" xfId="691"/>
    <cellStyle name="60% - 강조색6 19" xfId="733"/>
    <cellStyle name="60% - 강조색6 2" xfId="19"/>
    <cellStyle name="60% - 강조색6 20" xfId="775"/>
    <cellStyle name="60% - 강조색6 21" xfId="817"/>
    <cellStyle name="60% - 강조색6 22" xfId="859"/>
    <cellStyle name="60% - 강조색6 23" xfId="901"/>
    <cellStyle name="60% - 강조색6 24" xfId="943"/>
    <cellStyle name="60% - 강조색6 25" xfId="985"/>
    <cellStyle name="60% - 강조색6 26" xfId="1027"/>
    <cellStyle name="60% - 강조색6 27" xfId="1069"/>
    <cellStyle name="60% - 강조색6 28" xfId="1110"/>
    <cellStyle name="60% - 강조색6 29" xfId="1152"/>
    <cellStyle name="60% - 강조색6 3" xfId="61"/>
    <cellStyle name="60% - 강조색6 30" xfId="1194"/>
    <cellStyle name="60% - 강조색6 31" xfId="1236"/>
    <cellStyle name="60% - 강조색6 32" xfId="1278"/>
    <cellStyle name="60% - 강조색6 4" xfId="103"/>
    <cellStyle name="60% - 강조색6 5" xfId="145"/>
    <cellStyle name="60% - 강조색6 6" xfId="257"/>
    <cellStyle name="60% - 강조색6 7" xfId="258"/>
    <cellStyle name="60% - 강조색6 8" xfId="259"/>
    <cellStyle name="60% - 강조색6 9" xfId="260"/>
    <cellStyle name="Normal" xfId="1344"/>
    <cellStyle name="강조색1" xfId="1319" builtinId="29" customBuiltin="1"/>
    <cellStyle name="강조색1 10" xfId="261"/>
    <cellStyle name="강조색1 11" xfId="399"/>
    <cellStyle name="강조색1 12" xfId="441"/>
    <cellStyle name="강조색1 13" xfId="483"/>
    <cellStyle name="강조색1 14" xfId="525"/>
    <cellStyle name="강조색1 15" xfId="567"/>
    <cellStyle name="강조색1 16" xfId="608"/>
    <cellStyle name="강조색1 17" xfId="650"/>
    <cellStyle name="강조색1 18" xfId="692"/>
    <cellStyle name="강조색1 19" xfId="734"/>
    <cellStyle name="강조색1 2" xfId="20"/>
    <cellStyle name="강조색1 20" xfId="776"/>
    <cellStyle name="강조색1 21" xfId="818"/>
    <cellStyle name="강조색1 22" xfId="860"/>
    <cellStyle name="강조색1 23" xfId="902"/>
    <cellStyle name="강조색1 24" xfId="944"/>
    <cellStyle name="강조색1 25" xfId="986"/>
    <cellStyle name="강조색1 26" xfId="1028"/>
    <cellStyle name="강조색1 27" xfId="1070"/>
    <cellStyle name="강조색1 28" xfId="1111"/>
    <cellStyle name="강조색1 29" xfId="1153"/>
    <cellStyle name="강조색1 3" xfId="62"/>
    <cellStyle name="강조색1 30" xfId="1195"/>
    <cellStyle name="강조색1 31" xfId="1237"/>
    <cellStyle name="강조색1 32" xfId="1279"/>
    <cellStyle name="강조색1 4" xfId="104"/>
    <cellStyle name="강조색1 5" xfId="146"/>
    <cellStyle name="강조색1 6" xfId="262"/>
    <cellStyle name="강조색1 7" xfId="263"/>
    <cellStyle name="강조색1 8" xfId="264"/>
    <cellStyle name="강조색1 9" xfId="265"/>
    <cellStyle name="강조색2" xfId="1323" builtinId="33" customBuiltin="1"/>
    <cellStyle name="강조색2 10" xfId="266"/>
    <cellStyle name="강조색2 11" xfId="400"/>
    <cellStyle name="강조색2 12" xfId="442"/>
    <cellStyle name="강조색2 13" xfId="484"/>
    <cellStyle name="강조색2 14" xfId="526"/>
    <cellStyle name="강조색2 15" xfId="568"/>
    <cellStyle name="강조색2 16" xfId="609"/>
    <cellStyle name="강조색2 17" xfId="651"/>
    <cellStyle name="강조색2 18" xfId="693"/>
    <cellStyle name="강조색2 19" xfId="735"/>
    <cellStyle name="강조색2 2" xfId="21"/>
    <cellStyle name="강조색2 20" xfId="777"/>
    <cellStyle name="강조색2 21" xfId="819"/>
    <cellStyle name="강조색2 22" xfId="861"/>
    <cellStyle name="강조색2 23" xfId="903"/>
    <cellStyle name="강조색2 24" xfId="945"/>
    <cellStyle name="강조색2 25" xfId="987"/>
    <cellStyle name="강조색2 26" xfId="1029"/>
    <cellStyle name="강조색2 27" xfId="1071"/>
    <cellStyle name="강조색2 28" xfId="1112"/>
    <cellStyle name="강조색2 29" xfId="1154"/>
    <cellStyle name="강조색2 3" xfId="63"/>
    <cellStyle name="강조색2 30" xfId="1196"/>
    <cellStyle name="강조색2 31" xfId="1238"/>
    <cellStyle name="강조색2 32" xfId="1280"/>
    <cellStyle name="강조색2 4" xfId="105"/>
    <cellStyle name="강조색2 5" xfId="147"/>
    <cellStyle name="강조색2 6" xfId="267"/>
    <cellStyle name="강조색2 7" xfId="268"/>
    <cellStyle name="강조색2 8" xfId="269"/>
    <cellStyle name="강조색2 9" xfId="270"/>
    <cellStyle name="강조색3" xfId="1327" builtinId="37" customBuiltin="1"/>
    <cellStyle name="강조색3 10" xfId="271"/>
    <cellStyle name="강조색3 11" xfId="401"/>
    <cellStyle name="강조색3 12" xfId="443"/>
    <cellStyle name="강조색3 13" xfId="485"/>
    <cellStyle name="강조색3 14" xfId="527"/>
    <cellStyle name="강조색3 15" xfId="569"/>
    <cellStyle name="강조색3 16" xfId="610"/>
    <cellStyle name="강조색3 17" xfId="652"/>
    <cellStyle name="강조색3 18" xfId="694"/>
    <cellStyle name="강조색3 19" xfId="736"/>
    <cellStyle name="강조색3 2" xfId="22"/>
    <cellStyle name="강조색3 20" xfId="778"/>
    <cellStyle name="강조색3 21" xfId="820"/>
    <cellStyle name="강조색3 22" xfId="862"/>
    <cellStyle name="강조색3 23" xfId="904"/>
    <cellStyle name="강조색3 24" xfId="946"/>
    <cellStyle name="강조색3 25" xfId="988"/>
    <cellStyle name="강조색3 26" xfId="1030"/>
    <cellStyle name="강조색3 27" xfId="1072"/>
    <cellStyle name="강조색3 28" xfId="1113"/>
    <cellStyle name="강조색3 29" xfId="1155"/>
    <cellStyle name="강조색3 3" xfId="64"/>
    <cellStyle name="강조색3 30" xfId="1197"/>
    <cellStyle name="강조색3 31" xfId="1239"/>
    <cellStyle name="강조색3 32" xfId="1281"/>
    <cellStyle name="강조색3 4" xfId="106"/>
    <cellStyle name="강조색3 5" xfId="148"/>
    <cellStyle name="강조색3 6" xfId="272"/>
    <cellStyle name="강조색3 7" xfId="273"/>
    <cellStyle name="강조색3 8" xfId="274"/>
    <cellStyle name="강조색3 9" xfId="275"/>
    <cellStyle name="강조색4" xfId="1331" builtinId="41" customBuiltin="1"/>
    <cellStyle name="강조색4 10" xfId="276"/>
    <cellStyle name="강조색4 11" xfId="402"/>
    <cellStyle name="강조색4 12" xfId="444"/>
    <cellStyle name="강조색4 13" xfId="486"/>
    <cellStyle name="강조색4 14" xfId="528"/>
    <cellStyle name="강조색4 15" xfId="570"/>
    <cellStyle name="강조색4 16" xfId="611"/>
    <cellStyle name="강조색4 17" xfId="653"/>
    <cellStyle name="강조색4 18" xfId="695"/>
    <cellStyle name="강조색4 19" xfId="737"/>
    <cellStyle name="강조색4 2" xfId="23"/>
    <cellStyle name="강조색4 20" xfId="779"/>
    <cellStyle name="강조색4 21" xfId="821"/>
    <cellStyle name="강조색4 22" xfId="863"/>
    <cellStyle name="강조색4 23" xfId="905"/>
    <cellStyle name="강조색4 24" xfId="947"/>
    <cellStyle name="강조색4 25" xfId="989"/>
    <cellStyle name="강조색4 26" xfId="1031"/>
    <cellStyle name="강조색4 27" xfId="1073"/>
    <cellStyle name="강조색4 28" xfId="1114"/>
    <cellStyle name="강조색4 29" xfId="1156"/>
    <cellStyle name="강조색4 3" xfId="65"/>
    <cellStyle name="강조색4 30" xfId="1198"/>
    <cellStyle name="강조색4 31" xfId="1240"/>
    <cellStyle name="강조색4 32" xfId="1282"/>
    <cellStyle name="강조색4 4" xfId="107"/>
    <cellStyle name="강조색4 5" xfId="149"/>
    <cellStyle name="강조색4 6" xfId="277"/>
    <cellStyle name="강조색4 7" xfId="278"/>
    <cellStyle name="강조색4 8" xfId="279"/>
    <cellStyle name="강조색4 9" xfId="280"/>
    <cellStyle name="강조색5" xfId="1335" builtinId="45" customBuiltin="1"/>
    <cellStyle name="강조색5 10" xfId="281"/>
    <cellStyle name="강조색5 11" xfId="403"/>
    <cellStyle name="강조색5 12" xfId="445"/>
    <cellStyle name="강조색5 13" xfId="487"/>
    <cellStyle name="강조색5 14" xfId="529"/>
    <cellStyle name="강조색5 15" xfId="571"/>
    <cellStyle name="강조색5 16" xfId="612"/>
    <cellStyle name="강조색5 17" xfId="654"/>
    <cellStyle name="강조색5 18" xfId="696"/>
    <cellStyle name="강조색5 19" xfId="738"/>
    <cellStyle name="강조색5 2" xfId="24"/>
    <cellStyle name="강조색5 20" xfId="780"/>
    <cellStyle name="강조색5 21" xfId="822"/>
    <cellStyle name="강조색5 22" xfId="864"/>
    <cellStyle name="강조색5 23" xfId="906"/>
    <cellStyle name="강조색5 24" xfId="948"/>
    <cellStyle name="강조색5 25" xfId="990"/>
    <cellStyle name="강조색5 26" xfId="1032"/>
    <cellStyle name="강조색5 27" xfId="1074"/>
    <cellStyle name="강조색5 28" xfId="1115"/>
    <cellStyle name="강조색5 29" xfId="1157"/>
    <cellStyle name="강조색5 3" xfId="66"/>
    <cellStyle name="강조색5 30" xfId="1199"/>
    <cellStyle name="강조색5 31" xfId="1241"/>
    <cellStyle name="강조색5 32" xfId="1283"/>
    <cellStyle name="강조색5 4" xfId="108"/>
    <cellStyle name="강조색5 5" xfId="150"/>
    <cellStyle name="강조색5 6" xfId="282"/>
    <cellStyle name="강조색5 7" xfId="283"/>
    <cellStyle name="강조색5 8" xfId="284"/>
    <cellStyle name="강조색5 9" xfId="285"/>
    <cellStyle name="강조색6" xfId="1339" builtinId="49" customBuiltin="1"/>
    <cellStyle name="강조색6 10" xfId="286"/>
    <cellStyle name="강조색6 11" xfId="404"/>
    <cellStyle name="강조색6 12" xfId="446"/>
    <cellStyle name="강조색6 13" xfId="488"/>
    <cellStyle name="강조색6 14" xfId="530"/>
    <cellStyle name="강조색6 15" xfId="572"/>
    <cellStyle name="강조색6 16" xfId="613"/>
    <cellStyle name="강조색6 17" xfId="655"/>
    <cellStyle name="강조색6 18" xfId="697"/>
    <cellStyle name="강조색6 19" xfId="739"/>
    <cellStyle name="강조색6 2" xfId="25"/>
    <cellStyle name="강조색6 20" xfId="781"/>
    <cellStyle name="강조색6 21" xfId="823"/>
    <cellStyle name="강조색6 22" xfId="865"/>
    <cellStyle name="강조색6 23" xfId="907"/>
    <cellStyle name="강조색6 24" xfId="949"/>
    <cellStyle name="강조색6 25" xfId="991"/>
    <cellStyle name="강조색6 26" xfId="1033"/>
    <cellStyle name="강조색6 27" xfId="1075"/>
    <cellStyle name="강조색6 28" xfId="1116"/>
    <cellStyle name="강조색6 29" xfId="1158"/>
    <cellStyle name="강조색6 3" xfId="67"/>
    <cellStyle name="강조색6 30" xfId="1200"/>
    <cellStyle name="강조색6 31" xfId="1242"/>
    <cellStyle name="강조색6 32" xfId="1284"/>
    <cellStyle name="강조색6 4" xfId="109"/>
    <cellStyle name="강조색6 5" xfId="151"/>
    <cellStyle name="강조색6 6" xfId="287"/>
    <cellStyle name="강조색6 7" xfId="288"/>
    <cellStyle name="강조색6 8" xfId="289"/>
    <cellStyle name="강조색6 9" xfId="290"/>
    <cellStyle name="경고문" xfId="1316" builtinId="11" customBuiltin="1"/>
    <cellStyle name="경고문 10" xfId="291"/>
    <cellStyle name="경고문 11" xfId="405"/>
    <cellStyle name="경고문 12" xfId="447"/>
    <cellStyle name="경고문 13" xfId="489"/>
    <cellStyle name="경고문 14" xfId="531"/>
    <cellStyle name="경고문 15" xfId="573"/>
    <cellStyle name="경고문 16" xfId="614"/>
    <cellStyle name="경고문 17" xfId="656"/>
    <cellStyle name="경고문 18" xfId="698"/>
    <cellStyle name="경고문 19" xfId="740"/>
    <cellStyle name="경고문 2" xfId="26"/>
    <cellStyle name="경고문 20" xfId="782"/>
    <cellStyle name="경고문 21" xfId="824"/>
    <cellStyle name="경고문 22" xfId="866"/>
    <cellStyle name="경고문 23" xfId="908"/>
    <cellStyle name="경고문 24" xfId="950"/>
    <cellStyle name="경고문 25" xfId="992"/>
    <cellStyle name="경고문 26" xfId="1034"/>
    <cellStyle name="경고문 27" xfId="1076"/>
    <cellStyle name="경고문 28" xfId="1117"/>
    <cellStyle name="경고문 29" xfId="1159"/>
    <cellStyle name="경고문 3" xfId="68"/>
    <cellStyle name="경고문 30" xfId="1201"/>
    <cellStyle name="경고문 31" xfId="1243"/>
    <cellStyle name="경고문 32" xfId="1285"/>
    <cellStyle name="경고문 4" xfId="110"/>
    <cellStyle name="경고문 5" xfId="152"/>
    <cellStyle name="경고문 6" xfId="292"/>
    <cellStyle name="경고문 7" xfId="293"/>
    <cellStyle name="경고문 8" xfId="294"/>
    <cellStyle name="경고문 9" xfId="295"/>
    <cellStyle name="계산" xfId="1313" builtinId="22" customBuiltin="1"/>
    <cellStyle name="계산 10" xfId="296"/>
    <cellStyle name="계산 11" xfId="406"/>
    <cellStyle name="계산 12" xfId="448"/>
    <cellStyle name="계산 13" xfId="490"/>
    <cellStyle name="계산 14" xfId="532"/>
    <cellStyle name="계산 15" xfId="574"/>
    <cellStyle name="계산 16" xfId="615"/>
    <cellStyle name="계산 17" xfId="657"/>
    <cellStyle name="계산 18" xfId="699"/>
    <cellStyle name="계산 19" xfId="741"/>
    <cellStyle name="계산 2" xfId="27"/>
    <cellStyle name="계산 20" xfId="783"/>
    <cellStyle name="계산 21" xfId="825"/>
    <cellStyle name="계산 22" xfId="867"/>
    <cellStyle name="계산 23" xfId="909"/>
    <cellStyle name="계산 24" xfId="951"/>
    <cellStyle name="계산 25" xfId="993"/>
    <cellStyle name="계산 26" xfId="1035"/>
    <cellStyle name="계산 27" xfId="1077"/>
    <cellStyle name="계산 28" xfId="1118"/>
    <cellStyle name="계산 29" xfId="1160"/>
    <cellStyle name="계산 3" xfId="69"/>
    <cellStyle name="계산 30" xfId="1202"/>
    <cellStyle name="계산 31" xfId="1244"/>
    <cellStyle name="계산 32" xfId="1286"/>
    <cellStyle name="계산 4" xfId="111"/>
    <cellStyle name="계산 5" xfId="153"/>
    <cellStyle name="계산 6" xfId="297"/>
    <cellStyle name="계산 7" xfId="298"/>
    <cellStyle name="계산 8" xfId="299"/>
    <cellStyle name="계산 9" xfId="300"/>
    <cellStyle name="나쁨" xfId="1309" builtinId="27" customBuiltin="1"/>
    <cellStyle name="나쁨 10" xfId="301"/>
    <cellStyle name="나쁨 11" xfId="407"/>
    <cellStyle name="나쁨 12" xfId="449"/>
    <cellStyle name="나쁨 13" xfId="491"/>
    <cellStyle name="나쁨 14" xfId="533"/>
    <cellStyle name="나쁨 15" xfId="575"/>
    <cellStyle name="나쁨 16" xfId="616"/>
    <cellStyle name="나쁨 17" xfId="658"/>
    <cellStyle name="나쁨 18" xfId="700"/>
    <cellStyle name="나쁨 19" xfId="742"/>
    <cellStyle name="나쁨 2" xfId="28"/>
    <cellStyle name="나쁨 20" xfId="784"/>
    <cellStyle name="나쁨 21" xfId="826"/>
    <cellStyle name="나쁨 22" xfId="868"/>
    <cellStyle name="나쁨 23" xfId="910"/>
    <cellStyle name="나쁨 24" xfId="952"/>
    <cellStyle name="나쁨 25" xfId="994"/>
    <cellStyle name="나쁨 26" xfId="1036"/>
    <cellStyle name="나쁨 27" xfId="1078"/>
    <cellStyle name="나쁨 28" xfId="1119"/>
    <cellStyle name="나쁨 29" xfId="1161"/>
    <cellStyle name="나쁨 3" xfId="70"/>
    <cellStyle name="나쁨 30" xfId="1203"/>
    <cellStyle name="나쁨 31" xfId="1245"/>
    <cellStyle name="나쁨 32" xfId="1287"/>
    <cellStyle name="나쁨 4" xfId="112"/>
    <cellStyle name="나쁨 5" xfId="154"/>
    <cellStyle name="나쁨 6" xfId="302"/>
    <cellStyle name="나쁨 7" xfId="303"/>
    <cellStyle name="나쁨 8" xfId="304"/>
    <cellStyle name="나쁨 9" xfId="305"/>
    <cellStyle name="메모 10" xfId="306"/>
    <cellStyle name="메모 11" xfId="408"/>
    <cellStyle name="메모 12" xfId="450"/>
    <cellStyle name="메모 13" xfId="492"/>
    <cellStyle name="메모 14" xfId="534"/>
    <cellStyle name="메모 15" xfId="576"/>
    <cellStyle name="메모 16" xfId="617"/>
    <cellStyle name="메모 17" xfId="659"/>
    <cellStyle name="메모 18" xfId="701"/>
    <cellStyle name="메모 19" xfId="743"/>
    <cellStyle name="메모 2" xfId="29"/>
    <cellStyle name="메모 20" xfId="785"/>
    <cellStyle name="메모 21" xfId="827"/>
    <cellStyle name="메모 22" xfId="869"/>
    <cellStyle name="메모 23" xfId="911"/>
    <cellStyle name="메모 24" xfId="953"/>
    <cellStyle name="메모 25" xfId="995"/>
    <cellStyle name="메모 26" xfId="1037"/>
    <cellStyle name="메모 27" xfId="1079"/>
    <cellStyle name="메모 28" xfId="1120"/>
    <cellStyle name="메모 29" xfId="1162"/>
    <cellStyle name="메모 3" xfId="71"/>
    <cellStyle name="메모 30" xfId="1204"/>
    <cellStyle name="메모 31" xfId="1246"/>
    <cellStyle name="메모 32" xfId="1288"/>
    <cellStyle name="메모 33" xfId="1346"/>
    <cellStyle name="메모 4" xfId="113"/>
    <cellStyle name="메모 5" xfId="155"/>
    <cellStyle name="메모 6" xfId="307"/>
    <cellStyle name="메모 7" xfId="308"/>
    <cellStyle name="메모 8" xfId="309"/>
    <cellStyle name="메모 9" xfId="310"/>
    <cellStyle name="보통" xfId="1310" builtinId="28" customBuiltin="1"/>
    <cellStyle name="보통 10" xfId="311"/>
    <cellStyle name="보통 11" xfId="409"/>
    <cellStyle name="보통 12" xfId="451"/>
    <cellStyle name="보통 13" xfId="493"/>
    <cellStyle name="보통 14" xfId="535"/>
    <cellStyle name="보통 15" xfId="577"/>
    <cellStyle name="보통 16" xfId="618"/>
    <cellStyle name="보통 17" xfId="660"/>
    <cellStyle name="보통 18" xfId="702"/>
    <cellStyle name="보통 19" xfId="744"/>
    <cellStyle name="보통 2" xfId="30"/>
    <cellStyle name="보통 20" xfId="786"/>
    <cellStyle name="보통 21" xfId="828"/>
    <cellStyle name="보통 22" xfId="870"/>
    <cellStyle name="보통 23" xfId="912"/>
    <cellStyle name="보통 24" xfId="954"/>
    <cellStyle name="보통 25" xfId="996"/>
    <cellStyle name="보통 26" xfId="1038"/>
    <cellStyle name="보통 27" xfId="1080"/>
    <cellStyle name="보통 28" xfId="1121"/>
    <cellStyle name="보통 29" xfId="1163"/>
    <cellStyle name="보통 3" xfId="72"/>
    <cellStyle name="보통 30" xfId="1205"/>
    <cellStyle name="보통 31" xfId="1247"/>
    <cellStyle name="보통 32" xfId="1289"/>
    <cellStyle name="보통 4" xfId="114"/>
    <cellStyle name="보통 5" xfId="156"/>
    <cellStyle name="보통 6" xfId="312"/>
    <cellStyle name="보통 7" xfId="313"/>
    <cellStyle name="보통 8" xfId="314"/>
    <cellStyle name="보통 9" xfId="315"/>
    <cellStyle name="설명 텍스트" xfId="1317" builtinId="53" customBuiltin="1"/>
    <cellStyle name="설명 텍스트 10" xfId="316"/>
    <cellStyle name="설명 텍스트 11" xfId="410"/>
    <cellStyle name="설명 텍스트 12" xfId="452"/>
    <cellStyle name="설명 텍스트 13" xfId="494"/>
    <cellStyle name="설명 텍스트 14" xfId="536"/>
    <cellStyle name="설명 텍스트 15" xfId="578"/>
    <cellStyle name="설명 텍스트 16" xfId="619"/>
    <cellStyle name="설명 텍스트 17" xfId="661"/>
    <cellStyle name="설명 텍스트 18" xfId="703"/>
    <cellStyle name="설명 텍스트 19" xfId="745"/>
    <cellStyle name="설명 텍스트 2" xfId="31"/>
    <cellStyle name="설명 텍스트 20" xfId="787"/>
    <cellStyle name="설명 텍스트 21" xfId="829"/>
    <cellStyle name="설명 텍스트 22" xfId="871"/>
    <cellStyle name="설명 텍스트 23" xfId="913"/>
    <cellStyle name="설명 텍스트 24" xfId="955"/>
    <cellStyle name="설명 텍스트 25" xfId="997"/>
    <cellStyle name="설명 텍스트 26" xfId="1039"/>
    <cellStyle name="설명 텍스트 27" xfId="1081"/>
    <cellStyle name="설명 텍스트 28" xfId="1122"/>
    <cellStyle name="설명 텍스트 29" xfId="1164"/>
    <cellStyle name="설명 텍스트 3" xfId="73"/>
    <cellStyle name="설명 텍스트 30" xfId="1206"/>
    <cellStyle name="설명 텍스트 31" xfId="1248"/>
    <cellStyle name="설명 텍스트 32" xfId="1290"/>
    <cellStyle name="설명 텍스트 4" xfId="115"/>
    <cellStyle name="설명 텍스트 5" xfId="157"/>
    <cellStyle name="설명 텍스트 6" xfId="317"/>
    <cellStyle name="설명 텍스트 7" xfId="318"/>
    <cellStyle name="설명 텍스트 8" xfId="319"/>
    <cellStyle name="설명 텍스트 9" xfId="320"/>
    <cellStyle name="셀 확인" xfId="1315" builtinId="23" customBuiltin="1"/>
    <cellStyle name="셀 확인 10" xfId="321"/>
    <cellStyle name="셀 확인 11" xfId="411"/>
    <cellStyle name="셀 확인 12" xfId="453"/>
    <cellStyle name="셀 확인 13" xfId="495"/>
    <cellStyle name="셀 확인 14" xfId="537"/>
    <cellStyle name="셀 확인 15" xfId="579"/>
    <cellStyle name="셀 확인 16" xfId="620"/>
    <cellStyle name="셀 확인 17" xfId="662"/>
    <cellStyle name="셀 확인 18" xfId="704"/>
    <cellStyle name="셀 확인 19" xfId="746"/>
    <cellStyle name="셀 확인 2" xfId="32"/>
    <cellStyle name="셀 확인 20" xfId="788"/>
    <cellStyle name="셀 확인 21" xfId="830"/>
    <cellStyle name="셀 확인 22" xfId="872"/>
    <cellStyle name="셀 확인 23" xfId="914"/>
    <cellStyle name="셀 확인 24" xfId="956"/>
    <cellStyle name="셀 확인 25" xfId="998"/>
    <cellStyle name="셀 확인 26" xfId="1040"/>
    <cellStyle name="셀 확인 27" xfId="1082"/>
    <cellStyle name="셀 확인 28" xfId="1123"/>
    <cellStyle name="셀 확인 29" xfId="1165"/>
    <cellStyle name="셀 확인 3" xfId="74"/>
    <cellStyle name="셀 확인 30" xfId="1207"/>
    <cellStyle name="셀 확인 31" xfId="1249"/>
    <cellStyle name="셀 확인 32" xfId="1291"/>
    <cellStyle name="셀 확인 4" xfId="116"/>
    <cellStyle name="셀 확인 5" xfId="158"/>
    <cellStyle name="셀 확인 6" xfId="322"/>
    <cellStyle name="셀 확인 7" xfId="323"/>
    <cellStyle name="셀 확인 8" xfId="324"/>
    <cellStyle name="셀 확인 9" xfId="325"/>
    <cellStyle name="쉼표 [0]" xfId="379" builtinId="6"/>
    <cellStyle name="연결된 셀" xfId="1314" builtinId="24" customBuiltin="1"/>
    <cellStyle name="연결된 셀 10" xfId="326"/>
    <cellStyle name="연결된 셀 11" xfId="412"/>
    <cellStyle name="연결된 셀 12" xfId="454"/>
    <cellStyle name="연결된 셀 13" xfId="496"/>
    <cellStyle name="연결된 셀 14" xfId="538"/>
    <cellStyle name="연결된 셀 15" xfId="580"/>
    <cellStyle name="연결된 셀 16" xfId="621"/>
    <cellStyle name="연결된 셀 17" xfId="663"/>
    <cellStyle name="연결된 셀 18" xfId="705"/>
    <cellStyle name="연결된 셀 19" xfId="747"/>
    <cellStyle name="연결된 셀 2" xfId="33"/>
    <cellStyle name="연결된 셀 20" xfId="789"/>
    <cellStyle name="연결된 셀 21" xfId="831"/>
    <cellStyle name="연결된 셀 22" xfId="873"/>
    <cellStyle name="연결된 셀 23" xfId="915"/>
    <cellStyle name="연결된 셀 24" xfId="957"/>
    <cellStyle name="연결된 셀 25" xfId="999"/>
    <cellStyle name="연결된 셀 26" xfId="1041"/>
    <cellStyle name="연결된 셀 27" xfId="1083"/>
    <cellStyle name="연결된 셀 28" xfId="1124"/>
    <cellStyle name="연결된 셀 29" xfId="1166"/>
    <cellStyle name="연결된 셀 3" xfId="75"/>
    <cellStyle name="연결된 셀 30" xfId="1208"/>
    <cellStyle name="연결된 셀 31" xfId="1250"/>
    <cellStyle name="연결된 셀 32" xfId="1292"/>
    <cellStyle name="연결된 셀 4" xfId="117"/>
    <cellStyle name="연결된 셀 5" xfId="159"/>
    <cellStyle name="연결된 셀 6" xfId="327"/>
    <cellStyle name="연결된 셀 7" xfId="328"/>
    <cellStyle name="연결된 셀 8" xfId="329"/>
    <cellStyle name="연결된 셀 9" xfId="330"/>
    <cellStyle name="요약" xfId="1318" builtinId="25" customBuiltin="1"/>
    <cellStyle name="요약 10" xfId="331"/>
    <cellStyle name="요약 11" xfId="413"/>
    <cellStyle name="요약 12" xfId="455"/>
    <cellStyle name="요약 13" xfId="497"/>
    <cellStyle name="요약 14" xfId="539"/>
    <cellStyle name="요약 15" xfId="581"/>
    <cellStyle name="요약 16" xfId="622"/>
    <cellStyle name="요약 17" xfId="664"/>
    <cellStyle name="요약 18" xfId="706"/>
    <cellStyle name="요약 19" xfId="748"/>
    <cellStyle name="요약 2" xfId="34"/>
    <cellStyle name="요약 20" xfId="790"/>
    <cellStyle name="요약 21" xfId="832"/>
    <cellStyle name="요약 22" xfId="874"/>
    <cellStyle name="요약 23" xfId="916"/>
    <cellStyle name="요약 24" xfId="958"/>
    <cellStyle name="요약 25" xfId="1000"/>
    <cellStyle name="요약 26" xfId="1042"/>
    <cellStyle name="요약 27" xfId="1084"/>
    <cellStyle name="요약 28" xfId="1125"/>
    <cellStyle name="요약 29" xfId="1167"/>
    <cellStyle name="요약 3" xfId="76"/>
    <cellStyle name="요약 30" xfId="1209"/>
    <cellStyle name="요약 31" xfId="1251"/>
    <cellStyle name="요약 32" xfId="1293"/>
    <cellStyle name="요약 4" xfId="118"/>
    <cellStyle name="요약 5" xfId="160"/>
    <cellStyle name="요약 6" xfId="332"/>
    <cellStyle name="요약 7" xfId="333"/>
    <cellStyle name="요약 8" xfId="334"/>
    <cellStyle name="요약 9" xfId="335"/>
    <cellStyle name="입력" xfId="1311" builtinId="20" customBuiltin="1"/>
    <cellStyle name="입력 10" xfId="336"/>
    <cellStyle name="입력 11" xfId="414"/>
    <cellStyle name="입력 12" xfId="456"/>
    <cellStyle name="입력 13" xfId="498"/>
    <cellStyle name="입력 14" xfId="540"/>
    <cellStyle name="입력 15" xfId="582"/>
    <cellStyle name="입력 16" xfId="623"/>
    <cellStyle name="입력 17" xfId="665"/>
    <cellStyle name="입력 18" xfId="707"/>
    <cellStyle name="입력 19" xfId="749"/>
    <cellStyle name="입력 2" xfId="35"/>
    <cellStyle name="입력 20" xfId="791"/>
    <cellStyle name="입력 21" xfId="833"/>
    <cellStyle name="입력 22" xfId="875"/>
    <cellStyle name="입력 23" xfId="917"/>
    <cellStyle name="입력 24" xfId="959"/>
    <cellStyle name="입력 25" xfId="1001"/>
    <cellStyle name="입력 26" xfId="1043"/>
    <cellStyle name="입력 27" xfId="1085"/>
    <cellStyle name="입력 28" xfId="1126"/>
    <cellStyle name="입력 29" xfId="1168"/>
    <cellStyle name="입력 3" xfId="77"/>
    <cellStyle name="입력 30" xfId="1210"/>
    <cellStyle name="입력 31" xfId="1252"/>
    <cellStyle name="입력 32" xfId="1294"/>
    <cellStyle name="입력 4" xfId="119"/>
    <cellStyle name="입력 5" xfId="161"/>
    <cellStyle name="입력 6" xfId="337"/>
    <cellStyle name="입력 7" xfId="338"/>
    <cellStyle name="입력 8" xfId="339"/>
    <cellStyle name="입력 9" xfId="340"/>
    <cellStyle name="제목" xfId="1303" builtinId="15" customBuiltin="1"/>
    <cellStyle name="제목 1" xfId="1304" builtinId="16" customBuiltin="1"/>
    <cellStyle name="제목 1 10" xfId="341"/>
    <cellStyle name="제목 1 11" xfId="416"/>
    <cellStyle name="제목 1 12" xfId="458"/>
    <cellStyle name="제목 1 13" xfId="500"/>
    <cellStyle name="제목 1 14" xfId="542"/>
    <cellStyle name="제목 1 15" xfId="584"/>
    <cellStyle name="제목 1 16" xfId="625"/>
    <cellStyle name="제목 1 17" xfId="667"/>
    <cellStyle name="제목 1 18" xfId="709"/>
    <cellStyle name="제목 1 19" xfId="751"/>
    <cellStyle name="제목 1 2" xfId="37"/>
    <cellStyle name="제목 1 20" xfId="793"/>
    <cellStyle name="제목 1 21" xfId="835"/>
    <cellStyle name="제목 1 22" xfId="877"/>
    <cellStyle name="제목 1 23" xfId="919"/>
    <cellStyle name="제목 1 24" xfId="961"/>
    <cellStyle name="제목 1 25" xfId="1003"/>
    <cellStyle name="제목 1 26" xfId="1045"/>
    <cellStyle name="제목 1 27" xfId="1087"/>
    <cellStyle name="제목 1 28" xfId="1128"/>
    <cellStyle name="제목 1 29" xfId="1170"/>
    <cellStyle name="제목 1 3" xfId="79"/>
    <cellStyle name="제목 1 30" xfId="1212"/>
    <cellStyle name="제목 1 31" xfId="1254"/>
    <cellStyle name="제목 1 32" xfId="1296"/>
    <cellStyle name="제목 1 4" xfId="121"/>
    <cellStyle name="제목 1 5" xfId="163"/>
    <cellStyle name="제목 1 6" xfId="342"/>
    <cellStyle name="제목 1 7" xfId="343"/>
    <cellStyle name="제목 1 8" xfId="344"/>
    <cellStyle name="제목 1 9" xfId="345"/>
    <cellStyle name="제목 10" xfId="346"/>
    <cellStyle name="제목 11" xfId="347"/>
    <cellStyle name="제목 12" xfId="348"/>
    <cellStyle name="제목 13" xfId="349"/>
    <cellStyle name="제목 14" xfId="415"/>
    <cellStyle name="제목 15" xfId="457"/>
    <cellStyle name="제목 16" xfId="499"/>
    <cellStyle name="제목 17" xfId="541"/>
    <cellStyle name="제목 18" xfId="583"/>
    <cellStyle name="제목 19" xfId="624"/>
    <cellStyle name="제목 2" xfId="1305" builtinId="17" customBuiltin="1"/>
    <cellStyle name="제목 2 10" xfId="350"/>
    <cellStyle name="제목 2 11" xfId="417"/>
    <cellStyle name="제목 2 12" xfId="459"/>
    <cellStyle name="제목 2 13" xfId="501"/>
    <cellStyle name="제목 2 14" xfId="543"/>
    <cellStyle name="제목 2 15" xfId="585"/>
    <cellStyle name="제목 2 16" xfId="626"/>
    <cellStyle name="제목 2 17" xfId="668"/>
    <cellStyle name="제목 2 18" xfId="710"/>
    <cellStyle name="제목 2 19" xfId="752"/>
    <cellStyle name="제목 2 2" xfId="38"/>
    <cellStyle name="제목 2 20" xfId="794"/>
    <cellStyle name="제목 2 21" xfId="836"/>
    <cellStyle name="제목 2 22" xfId="878"/>
    <cellStyle name="제목 2 23" xfId="920"/>
    <cellStyle name="제목 2 24" xfId="962"/>
    <cellStyle name="제목 2 25" xfId="1004"/>
    <cellStyle name="제목 2 26" xfId="1046"/>
    <cellStyle name="제목 2 27" xfId="1088"/>
    <cellStyle name="제목 2 28" xfId="1129"/>
    <cellStyle name="제목 2 29" xfId="1171"/>
    <cellStyle name="제목 2 3" xfId="80"/>
    <cellStyle name="제목 2 30" xfId="1213"/>
    <cellStyle name="제목 2 31" xfId="1255"/>
    <cellStyle name="제목 2 32" xfId="1297"/>
    <cellStyle name="제목 2 4" xfId="122"/>
    <cellStyle name="제목 2 5" xfId="164"/>
    <cellStyle name="제목 2 6" xfId="351"/>
    <cellStyle name="제목 2 7" xfId="352"/>
    <cellStyle name="제목 2 8" xfId="353"/>
    <cellStyle name="제목 2 9" xfId="354"/>
    <cellStyle name="제목 20" xfId="666"/>
    <cellStyle name="제목 21" xfId="708"/>
    <cellStyle name="제목 22" xfId="750"/>
    <cellStyle name="제목 23" xfId="792"/>
    <cellStyle name="제목 24" xfId="834"/>
    <cellStyle name="제목 25" xfId="876"/>
    <cellStyle name="제목 26" xfId="918"/>
    <cellStyle name="제목 27" xfId="960"/>
    <cellStyle name="제목 28" xfId="1002"/>
    <cellStyle name="제목 29" xfId="1044"/>
    <cellStyle name="제목 3" xfId="1306" builtinId="18" customBuiltin="1"/>
    <cellStyle name="제목 3 10" xfId="355"/>
    <cellStyle name="제목 3 11" xfId="418"/>
    <cellStyle name="제목 3 12" xfId="460"/>
    <cellStyle name="제목 3 13" xfId="502"/>
    <cellStyle name="제목 3 14" xfId="544"/>
    <cellStyle name="제목 3 15" xfId="586"/>
    <cellStyle name="제목 3 16" xfId="627"/>
    <cellStyle name="제목 3 17" xfId="669"/>
    <cellStyle name="제목 3 18" xfId="711"/>
    <cellStyle name="제목 3 19" xfId="753"/>
    <cellStyle name="제목 3 2" xfId="39"/>
    <cellStyle name="제목 3 20" xfId="795"/>
    <cellStyle name="제목 3 21" xfId="837"/>
    <cellStyle name="제목 3 22" xfId="879"/>
    <cellStyle name="제목 3 23" xfId="921"/>
    <cellStyle name="제목 3 24" xfId="963"/>
    <cellStyle name="제목 3 25" xfId="1005"/>
    <cellStyle name="제목 3 26" xfId="1047"/>
    <cellStyle name="제목 3 27" xfId="1089"/>
    <cellStyle name="제목 3 28" xfId="1130"/>
    <cellStyle name="제목 3 29" xfId="1172"/>
    <cellStyle name="제목 3 3" xfId="81"/>
    <cellStyle name="제목 3 30" xfId="1214"/>
    <cellStyle name="제목 3 31" xfId="1256"/>
    <cellStyle name="제목 3 32" xfId="1298"/>
    <cellStyle name="제목 3 4" xfId="123"/>
    <cellStyle name="제목 3 5" xfId="165"/>
    <cellStyle name="제목 3 6" xfId="356"/>
    <cellStyle name="제목 3 7" xfId="357"/>
    <cellStyle name="제목 3 8" xfId="358"/>
    <cellStyle name="제목 3 9" xfId="359"/>
    <cellStyle name="제목 30" xfId="1086"/>
    <cellStyle name="제목 31" xfId="1127"/>
    <cellStyle name="제목 32" xfId="1169"/>
    <cellStyle name="제목 33" xfId="1211"/>
    <cellStyle name="제목 34" xfId="1253"/>
    <cellStyle name="제목 35" xfId="1295"/>
    <cellStyle name="제목 4" xfId="1307" builtinId="19" customBuiltin="1"/>
    <cellStyle name="제목 4 10" xfId="360"/>
    <cellStyle name="제목 4 11" xfId="419"/>
    <cellStyle name="제목 4 12" xfId="461"/>
    <cellStyle name="제목 4 13" xfId="503"/>
    <cellStyle name="제목 4 14" xfId="545"/>
    <cellStyle name="제목 4 15" xfId="587"/>
    <cellStyle name="제목 4 16" xfId="628"/>
    <cellStyle name="제목 4 17" xfId="670"/>
    <cellStyle name="제목 4 18" xfId="712"/>
    <cellStyle name="제목 4 19" xfId="754"/>
    <cellStyle name="제목 4 2" xfId="40"/>
    <cellStyle name="제목 4 20" xfId="796"/>
    <cellStyle name="제목 4 21" xfId="838"/>
    <cellStyle name="제목 4 22" xfId="880"/>
    <cellStyle name="제목 4 23" xfId="922"/>
    <cellStyle name="제목 4 24" xfId="964"/>
    <cellStyle name="제목 4 25" xfId="1006"/>
    <cellStyle name="제목 4 26" xfId="1048"/>
    <cellStyle name="제목 4 27" xfId="1090"/>
    <cellStyle name="제목 4 28" xfId="1131"/>
    <cellStyle name="제목 4 29" xfId="1173"/>
    <cellStyle name="제목 4 3" xfId="82"/>
    <cellStyle name="제목 4 30" xfId="1215"/>
    <cellStyle name="제목 4 31" xfId="1257"/>
    <cellStyle name="제목 4 32" xfId="1299"/>
    <cellStyle name="제목 4 4" xfId="124"/>
    <cellStyle name="제목 4 5" xfId="166"/>
    <cellStyle name="제목 4 6" xfId="361"/>
    <cellStyle name="제목 4 7" xfId="362"/>
    <cellStyle name="제목 4 8" xfId="363"/>
    <cellStyle name="제목 4 9" xfId="364"/>
    <cellStyle name="제목 5" xfId="36"/>
    <cellStyle name="제목 6" xfId="78"/>
    <cellStyle name="제목 7" xfId="120"/>
    <cellStyle name="제목 8" xfId="162"/>
    <cellStyle name="제목 9" xfId="365"/>
    <cellStyle name="좋음" xfId="1308" builtinId="26" customBuiltin="1"/>
    <cellStyle name="좋음 10" xfId="366"/>
    <cellStyle name="좋음 11" xfId="420"/>
    <cellStyle name="좋음 12" xfId="462"/>
    <cellStyle name="좋음 13" xfId="504"/>
    <cellStyle name="좋음 14" xfId="546"/>
    <cellStyle name="좋음 15" xfId="588"/>
    <cellStyle name="좋음 16" xfId="629"/>
    <cellStyle name="좋음 17" xfId="671"/>
    <cellStyle name="좋음 18" xfId="713"/>
    <cellStyle name="좋음 19" xfId="755"/>
    <cellStyle name="좋음 2" xfId="41"/>
    <cellStyle name="좋음 20" xfId="797"/>
    <cellStyle name="좋음 21" xfId="839"/>
    <cellStyle name="좋음 22" xfId="881"/>
    <cellStyle name="좋음 23" xfId="923"/>
    <cellStyle name="좋음 24" xfId="965"/>
    <cellStyle name="좋음 25" xfId="1007"/>
    <cellStyle name="좋음 26" xfId="1049"/>
    <cellStyle name="좋음 27" xfId="1091"/>
    <cellStyle name="좋음 28" xfId="1132"/>
    <cellStyle name="좋음 29" xfId="1174"/>
    <cellStyle name="좋음 3" xfId="83"/>
    <cellStyle name="좋음 30" xfId="1216"/>
    <cellStyle name="좋음 31" xfId="1258"/>
    <cellStyle name="좋음 32" xfId="1300"/>
    <cellStyle name="좋음 4" xfId="125"/>
    <cellStyle name="좋음 5" xfId="167"/>
    <cellStyle name="좋음 6" xfId="367"/>
    <cellStyle name="좋음 7" xfId="368"/>
    <cellStyle name="좋음 8" xfId="369"/>
    <cellStyle name="좋음 9" xfId="370"/>
    <cellStyle name="출력" xfId="1312" builtinId="21" customBuiltin="1"/>
    <cellStyle name="출력 10" xfId="371"/>
    <cellStyle name="출력 11" xfId="421"/>
    <cellStyle name="출력 12" xfId="463"/>
    <cellStyle name="출력 13" xfId="505"/>
    <cellStyle name="출력 14" xfId="547"/>
    <cellStyle name="출력 15" xfId="589"/>
    <cellStyle name="출력 16" xfId="630"/>
    <cellStyle name="출력 17" xfId="672"/>
    <cellStyle name="출력 18" xfId="714"/>
    <cellStyle name="출력 19" xfId="756"/>
    <cellStyle name="출력 2" xfId="42"/>
    <cellStyle name="출력 20" xfId="798"/>
    <cellStyle name="출력 21" xfId="840"/>
    <cellStyle name="출력 22" xfId="882"/>
    <cellStyle name="출력 23" xfId="924"/>
    <cellStyle name="출력 24" xfId="966"/>
    <cellStyle name="출력 25" xfId="1008"/>
    <cellStyle name="출력 26" xfId="1050"/>
    <cellStyle name="출력 27" xfId="1092"/>
    <cellStyle name="출력 28" xfId="1133"/>
    <cellStyle name="출력 29" xfId="1175"/>
    <cellStyle name="출력 3" xfId="84"/>
    <cellStyle name="출력 30" xfId="1217"/>
    <cellStyle name="출력 31" xfId="1259"/>
    <cellStyle name="출력 32" xfId="1301"/>
    <cellStyle name="출력 4" xfId="126"/>
    <cellStyle name="출력 5" xfId="168"/>
    <cellStyle name="출력 6" xfId="372"/>
    <cellStyle name="출력 7" xfId="373"/>
    <cellStyle name="출력 8" xfId="374"/>
    <cellStyle name="출력 9" xfId="375"/>
    <cellStyle name="표준" xfId="0" builtinId="0"/>
    <cellStyle name="표준 10" xfId="376"/>
    <cellStyle name="표준 11" xfId="380"/>
    <cellStyle name="표준 12" xfId="422"/>
    <cellStyle name="표준 13" xfId="464"/>
    <cellStyle name="표준 14" xfId="506"/>
    <cellStyle name="표준 15" xfId="548"/>
    <cellStyle name="표준 16" xfId="1302"/>
    <cellStyle name="표준 16 2" xfId="1347"/>
    <cellStyle name="표준 17" xfId="631"/>
    <cellStyle name="표준 18" xfId="673"/>
    <cellStyle name="표준 19" xfId="715"/>
    <cellStyle name="표준 2" xfId="1"/>
    <cellStyle name="표준 20" xfId="757"/>
    <cellStyle name="표준 21" xfId="799"/>
    <cellStyle name="표준 22" xfId="841"/>
    <cellStyle name="표준 23" xfId="883"/>
    <cellStyle name="표준 24" xfId="925"/>
    <cellStyle name="표준 25" xfId="967"/>
    <cellStyle name="표준 26" xfId="1009"/>
    <cellStyle name="표준 27" xfId="1051"/>
    <cellStyle name="표준 28" xfId="1345"/>
    <cellStyle name="표준 29" xfId="1134"/>
    <cellStyle name="표준 3" xfId="43"/>
    <cellStyle name="표준 30" xfId="1176"/>
    <cellStyle name="표준 31" xfId="1218"/>
    <cellStyle name="표준 32" xfId="1260"/>
    <cellStyle name="표준 33" xfId="1343"/>
    <cellStyle name="표준 4" xfId="85"/>
    <cellStyle name="표준 5" xfId="127"/>
    <cellStyle name="표준 6" xfId="170"/>
    <cellStyle name="표준 7" xfId="169"/>
    <cellStyle name="표준 8" xfId="377"/>
    <cellStyle name="표준 9" xfId="37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tabSelected="1" workbookViewId="0">
      <selection activeCell="A4" sqref="A4:A5"/>
    </sheetView>
  </sheetViews>
  <sheetFormatPr defaultColWidth="9" defaultRowHeight="16.5"/>
  <cols>
    <col min="1" max="1" width="16.75" style="2" customWidth="1"/>
    <col min="2" max="2" width="23.25" style="2" customWidth="1"/>
    <col min="3" max="3" width="8.375" style="2" customWidth="1"/>
    <col min="4" max="4" width="8.375" style="1" customWidth="1"/>
    <col min="5" max="5" width="8.375" style="2" customWidth="1"/>
    <col min="6" max="13" width="8.375" style="1" customWidth="1"/>
    <col min="14" max="16384" width="9" style="1"/>
  </cols>
  <sheetData>
    <row r="1" spans="1:13" ht="37.5" customHeight="1">
      <c r="A1" s="84" t="s">
        <v>67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spans="1:13" ht="20.100000000000001" customHeight="1">
      <c r="A2" s="79" t="s">
        <v>129</v>
      </c>
      <c r="B2" s="78"/>
      <c r="C2" s="78"/>
      <c r="D2" s="78"/>
      <c r="E2" s="78"/>
      <c r="F2" s="78"/>
      <c r="G2" s="78"/>
      <c r="H2" s="78"/>
      <c r="I2" s="78"/>
      <c r="J2" s="6"/>
      <c r="K2" s="6"/>
      <c r="L2" s="6"/>
      <c r="M2" s="6"/>
    </row>
    <row r="3" spans="1:13" ht="20.100000000000001" customHeight="1" thickBot="1">
      <c r="A3" s="79" t="s">
        <v>130</v>
      </c>
      <c r="B3" s="78"/>
      <c r="C3" s="78"/>
      <c r="D3" s="78"/>
      <c r="E3" s="78"/>
      <c r="F3" s="78"/>
      <c r="G3" s="78"/>
      <c r="H3" s="78"/>
      <c r="I3" s="78"/>
      <c r="J3" s="6"/>
      <c r="K3" s="6"/>
      <c r="L3" s="6"/>
      <c r="M3" s="6"/>
    </row>
    <row r="4" spans="1:13" ht="36" customHeight="1">
      <c r="A4" s="87" t="s">
        <v>83</v>
      </c>
      <c r="B4" s="85" t="s">
        <v>38</v>
      </c>
      <c r="C4" s="80" t="s">
        <v>39</v>
      </c>
      <c r="D4" s="80" t="s">
        <v>20</v>
      </c>
      <c r="E4" s="80" t="s">
        <v>21</v>
      </c>
      <c r="F4" s="80" t="s">
        <v>32</v>
      </c>
      <c r="G4" s="80" t="s">
        <v>41</v>
      </c>
      <c r="H4" s="27" t="s">
        <v>56</v>
      </c>
      <c r="I4" s="28"/>
      <c r="J4" s="28"/>
      <c r="K4" s="27" t="s">
        <v>82</v>
      </c>
      <c r="L4" s="29"/>
      <c r="M4" s="30"/>
    </row>
    <row r="5" spans="1:13" ht="36" customHeight="1">
      <c r="A5" s="88"/>
      <c r="B5" s="86"/>
      <c r="C5" s="81"/>
      <c r="D5" s="81"/>
      <c r="E5" s="81"/>
      <c r="F5" s="81"/>
      <c r="G5" s="81"/>
      <c r="H5" s="26" t="s">
        <v>17</v>
      </c>
      <c r="I5" s="26" t="s">
        <v>18</v>
      </c>
      <c r="J5" s="26" t="s">
        <v>19</v>
      </c>
      <c r="K5" s="26" t="s">
        <v>17</v>
      </c>
      <c r="L5" s="26" t="s">
        <v>18</v>
      </c>
      <c r="M5" s="31" t="s">
        <v>19</v>
      </c>
    </row>
    <row r="6" spans="1:13" ht="21" customHeight="1">
      <c r="A6" s="46" t="s">
        <v>84</v>
      </c>
      <c r="B6" s="14" t="s">
        <v>58</v>
      </c>
      <c r="C6" s="15">
        <v>21</v>
      </c>
      <c r="D6" s="16">
        <v>5</v>
      </c>
      <c r="E6" s="17">
        <v>24</v>
      </c>
      <c r="F6" s="18">
        <f>E6/D6</f>
        <v>4.8</v>
      </c>
      <c r="G6" s="19">
        <v>11</v>
      </c>
      <c r="H6" s="20">
        <v>3</v>
      </c>
      <c r="I6" s="20">
        <v>4.5</v>
      </c>
      <c r="J6" s="25">
        <v>3.88</v>
      </c>
      <c r="K6" s="21">
        <v>813.5</v>
      </c>
      <c r="L6" s="21">
        <v>676</v>
      </c>
      <c r="M6" s="32">
        <v>730.08</v>
      </c>
    </row>
    <row r="7" spans="1:13" ht="21" customHeight="1">
      <c r="A7" s="46" t="s">
        <v>85</v>
      </c>
      <c r="B7" s="14" t="s">
        <v>2</v>
      </c>
      <c r="C7" s="15">
        <v>33</v>
      </c>
      <c r="D7" s="16">
        <v>5</v>
      </c>
      <c r="E7" s="17">
        <v>18</v>
      </c>
      <c r="F7" s="18">
        <f t="shared" ref="F7:F21" si="0">E7/D7</f>
        <v>3.6</v>
      </c>
      <c r="G7" s="19">
        <v>13</v>
      </c>
      <c r="H7" s="20">
        <v>3.75</v>
      </c>
      <c r="I7" s="20">
        <v>4.75</v>
      </c>
      <c r="J7" s="25">
        <v>4.2300000000000004</v>
      </c>
      <c r="K7" s="21">
        <v>763</v>
      </c>
      <c r="L7" s="21">
        <v>604.5</v>
      </c>
      <c r="M7" s="32">
        <v>679.5</v>
      </c>
    </row>
    <row r="8" spans="1:13" ht="21" customHeight="1">
      <c r="A8" s="46" t="s">
        <v>86</v>
      </c>
      <c r="B8" s="14" t="s">
        <v>29</v>
      </c>
      <c r="C8" s="15">
        <v>27</v>
      </c>
      <c r="D8" s="16">
        <v>8</v>
      </c>
      <c r="E8" s="17">
        <v>33</v>
      </c>
      <c r="F8" s="18">
        <f t="shared" si="0"/>
        <v>4.125</v>
      </c>
      <c r="G8" s="19">
        <v>16</v>
      </c>
      <c r="H8" s="20">
        <v>3.25</v>
      </c>
      <c r="I8" s="20">
        <v>4.75</v>
      </c>
      <c r="J8" s="25">
        <v>4.33</v>
      </c>
      <c r="K8" s="21">
        <v>783.5</v>
      </c>
      <c r="L8" s="21">
        <v>611.5</v>
      </c>
      <c r="M8" s="32">
        <v>675.81</v>
      </c>
    </row>
    <row r="9" spans="1:13" ht="21" customHeight="1">
      <c r="A9" s="46" t="s">
        <v>87</v>
      </c>
      <c r="B9" s="14" t="s">
        <v>4</v>
      </c>
      <c r="C9" s="15">
        <v>20</v>
      </c>
      <c r="D9" s="16">
        <v>3</v>
      </c>
      <c r="E9" s="17">
        <v>11</v>
      </c>
      <c r="F9" s="18">
        <f t="shared" si="0"/>
        <v>3.6666666666666665</v>
      </c>
      <c r="G9" s="19">
        <v>4</v>
      </c>
      <c r="H9" s="20">
        <v>3.75</v>
      </c>
      <c r="I9" s="20">
        <v>5</v>
      </c>
      <c r="J9" s="25">
        <v>4.1900000000000004</v>
      </c>
      <c r="K9" s="21">
        <v>750</v>
      </c>
      <c r="L9" s="21">
        <v>626</v>
      </c>
      <c r="M9" s="32">
        <v>702.38</v>
      </c>
    </row>
    <row r="10" spans="1:13" ht="21" customHeight="1">
      <c r="A10" s="46" t="s">
        <v>85</v>
      </c>
      <c r="B10" s="14" t="s">
        <v>50</v>
      </c>
      <c r="C10" s="15">
        <v>22</v>
      </c>
      <c r="D10" s="16">
        <v>7</v>
      </c>
      <c r="E10" s="17">
        <v>18</v>
      </c>
      <c r="F10" s="18">
        <f t="shared" si="0"/>
        <v>2.5714285714285716</v>
      </c>
      <c r="G10" s="19">
        <v>11</v>
      </c>
      <c r="H10" s="20">
        <v>3.5</v>
      </c>
      <c r="I10" s="20">
        <v>7.75</v>
      </c>
      <c r="J10" s="25">
        <v>4.9800000000000004</v>
      </c>
      <c r="K10" s="21">
        <v>721</v>
      </c>
      <c r="L10" s="21">
        <v>67</v>
      </c>
      <c r="M10" s="32">
        <v>542.38</v>
      </c>
    </row>
    <row r="11" spans="1:13" ht="21" customHeight="1">
      <c r="A11" s="46" t="s">
        <v>88</v>
      </c>
      <c r="B11" s="14" t="s">
        <v>6</v>
      </c>
      <c r="C11" s="15">
        <v>60</v>
      </c>
      <c r="D11" s="16">
        <v>10</v>
      </c>
      <c r="E11" s="17">
        <v>36</v>
      </c>
      <c r="F11" s="18">
        <f t="shared" si="0"/>
        <v>3.6</v>
      </c>
      <c r="G11" s="19">
        <v>12</v>
      </c>
      <c r="H11" s="20">
        <v>2.5</v>
      </c>
      <c r="I11" s="20">
        <v>3.75</v>
      </c>
      <c r="J11" s="25">
        <v>3.24</v>
      </c>
      <c r="K11" s="21">
        <v>920.9</v>
      </c>
      <c r="L11" s="21">
        <v>806.63</v>
      </c>
      <c r="M11" s="32">
        <v>839.03</v>
      </c>
    </row>
    <row r="12" spans="1:13" ht="21" customHeight="1">
      <c r="A12" s="46" t="s">
        <v>89</v>
      </c>
      <c r="B12" s="14" t="s">
        <v>98</v>
      </c>
      <c r="C12" s="15">
        <v>28</v>
      </c>
      <c r="D12" s="16">
        <v>6</v>
      </c>
      <c r="E12" s="17">
        <v>33</v>
      </c>
      <c r="F12" s="18">
        <f t="shared" si="0"/>
        <v>5.5</v>
      </c>
      <c r="G12" s="19">
        <v>16</v>
      </c>
      <c r="H12" s="20">
        <v>3.67</v>
      </c>
      <c r="I12" s="20">
        <v>4.33</v>
      </c>
      <c r="J12" s="25">
        <v>4.0599999999999996</v>
      </c>
      <c r="K12" s="21">
        <v>776.13</v>
      </c>
      <c r="L12" s="21">
        <v>653.79999999999995</v>
      </c>
      <c r="M12" s="32">
        <v>724.65</v>
      </c>
    </row>
    <row r="13" spans="1:13" ht="21" customHeight="1">
      <c r="A13" s="46" t="s">
        <v>90</v>
      </c>
      <c r="B13" s="14" t="s">
        <v>47</v>
      </c>
      <c r="C13" s="15">
        <v>20</v>
      </c>
      <c r="D13" s="16">
        <v>6</v>
      </c>
      <c r="E13" s="17">
        <v>30</v>
      </c>
      <c r="F13" s="18">
        <f t="shared" si="0"/>
        <v>5</v>
      </c>
      <c r="G13" s="19">
        <v>7</v>
      </c>
      <c r="H13" s="20">
        <v>4.25</v>
      </c>
      <c r="I13" s="20">
        <v>4.75</v>
      </c>
      <c r="J13" s="25">
        <v>4.46</v>
      </c>
      <c r="K13" s="21">
        <v>766.8</v>
      </c>
      <c r="L13" s="21">
        <v>697.95</v>
      </c>
      <c r="M13" s="32">
        <v>723.68</v>
      </c>
    </row>
    <row r="14" spans="1:13" ht="21" customHeight="1">
      <c r="A14" s="46" t="s">
        <v>91</v>
      </c>
      <c r="B14" s="14" t="s">
        <v>8</v>
      </c>
      <c r="C14" s="15">
        <v>21</v>
      </c>
      <c r="D14" s="16">
        <v>6</v>
      </c>
      <c r="E14" s="17">
        <v>34</v>
      </c>
      <c r="F14" s="18">
        <f t="shared" si="0"/>
        <v>5.666666666666667</v>
      </c>
      <c r="G14" s="19">
        <v>15</v>
      </c>
      <c r="H14" s="20">
        <v>4.25</v>
      </c>
      <c r="I14" s="20">
        <v>5.5</v>
      </c>
      <c r="J14" s="25">
        <v>4.93</v>
      </c>
      <c r="K14" s="21">
        <v>683.3</v>
      </c>
      <c r="L14" s="21">
        <v>605.5</v>
      </c>
      <c r="M14" s="32">
        <v>641.55999999999995</v>
      </c>
    </row>
    <row r="15" spans="1:13" ht="21" customHeight="1">
      <c r="A15" s="46" t="s">
        <v>92</v>
      </c>
      <c r="B15" s="14" t="s">
        <v>9</v>
      </c>
      <c r="C15" s="15">
        <v>28</v>
      </c>
      <c r="D15" s="16">
        <v>6</v>
      </c>
      <c r="E15" s="17">
        <v>32</v>
      </c>
      <c r="F15" s="18">
        <f t="shared" si="0"/>
        <v>5.333333333333333</v>
      </c>
      <c r="G15" s="19">
        <v>14</v>
      </c>
      <c r="H15" s="20">
        <v>3.33</v>
      </c>
      <c r="I15" s="20">
        <v>4.67</v>
      </c>
      <c r="J15" s="25">
        <v>4.25</v>
      </c>
      <c r="K15" s="21">
        <v>808</v>
      </c>
      <c r="L15" s="21">
        <v>664.08</v>
      </c>
      <c r="M15" s="32">
        <v>722.53</v>
      </c>
    </row>
    <row r="16" spans="1:13" ht="21" customHeight="1">
      <c r="A16" s="46" t="s">
        <v>93</v>
      </c>
      <c r="B16" s="14" t="s">
        <v>26</v>
      </c>
      <c r="C16" s="15">
        <v>35</v>
      </c>
      <c r="D16" s="16">
        <v>12</v>
      </c>
      <c r="E16" s="17">
        <v>61</v>
      </c>
      <c r="F16" s="18">
        <f t="shared" si="0"/>
        <v>5.083333333333333</v>
      </c>
      <c r="G16" s="19">
        <v>46</v>
      </c>
      <c r="H16" s="20">
        <v>3.75</v>
      </c>
      <c r="I16" s="20">
        <v>5.67</v>
      </c>
      <c r="J16" s="25">
        <v>4.7699999999999996</v>
      </c>
      <c r="K16" s="21">
        <v>723</v>
      </c>
      <c r="L16" s="21">
        <v>491</v>
      </c>
      <c r="M16" s="32">
        <v>607.69000000000005</v>
      </c>
    </row>
    <row r="17" spans="1:13" ht="21" customHeight="1">
      <c r="A17" s="46" t="s">
        <v>94</v>
      </c>
      <c r="B17" s="14" t="s">
        <v>25</v>
      </c>
      <c r="C17" s="15">
        <v>33</v>
      </c>
      <c r="D17" s="16">
        <v>14</v>
      </c>
      <c r="E17" s="17">
        <v>57</v>
      </c>
      <c r="F17" s="18">
        <f t="shared" si="0"/>
        <v>4.0714285714285712</v>
      </c>
      <c r="G17" s="19">
        <v>35</v>
      </c>
      <c r="H17" s="20">
        <v>3</v>
      </c>
      <c r="I17" s="20">
        <v>5.25</v>
      </c>
      <c r="J17" s="25">
        <v>4.38</v>
      </c>
      <c r="K17" s="21">
        <v>708</v>
      </c>
      <c r="L17" s="21">
        <v>608.5</v>
      </c>
      <c r="M17" s="32">
        <v>666.37</v>
      </c>
    </row>
    <row r="18" spans="1:13" ht="21" customHeight="1">
      <c r="A18" s="46" t="s">
        <v>94</v>
      </c>
      <c r="B18" s="14" t="s">
        <v>24</v>
      </c>
      <c r="C18" s="15">
        <v>21</v>
      </c>
      <c r="D18" s="16">
        <v>8</v>
      </c>
      <c r="E18" s="17">
        <v>27</v>
      </c>
      <c r="F18" s="18">
        <f t="shared" si="0"/>
        <v>3.375</v>
      </c>
      <c r="G18" s="19">
        <v>13</v>
      </c>
      <c r="H18" s="20">
        <v>3</v>
      </c>
      <c r="I18" s="20">
        <v>5</v>
      </c>
      <c r="J18" s="25">
        <v>4.1399999999999997</v>
      </c>
      <c r="K18" s="21">
        <v>794</v>
      </c>
      <c r="L18" s="21">
        <v>593.5</v>
      </c>
      <c r="M18" s="32">
        <v>683.67</v>
      </c>
    </row>
    <row r="19" spans="1:13" ht="21" customHeight="1">
      <c r="A19" s="46" t="s">
        <v>94</v>
      </c>
      <c r="B19" s="14" t="s">
        <v>57</v>
      </c>
      <c r="C19" s="15">
        <v>24</v>
      </c>
      <c r="D19" s="16">
        <v>6</v>
      </c>
      <c r="E19" s="17">
        <v>54</v>
      </c>
      <c r="F19" s="18">
        <f t="shared" si="0"/>
        <v>9</v>
      </c>
      <c r="G19" s="19">
        <v>10</v>
      </c>
      <c r="H19" s="20">
        <v>3.5</v>
      </c>
      <c r="I19" s="20">
        <v>4</v>
      </c>
      <c r="J19" s="25">
        <v>3.7</v>
      </c>
      <c r="K19" s="21">
        <v>752.5</v>
      </c>
      <c r="L19" s="21">
        <v>667</v>
      </c>
      <c r="M19" s="32">
        <v>727.5</v>
      </c>
    </row>
    <row r="20" spans="1:13" ht="21" customHeight="1">
      <c r="A20" s="46" t="s">
        <v>95</v>
      </c>
      <c r="B20" s="14" t="s">
        <v>14</v>
      </c>
      <c r="C20" s="15">
        <v>15</v>
      </c>
      <c r="D20" s="16">
        <v>5</v>
      </c>
      <c r="E20" s="17">
        <v>15</v>
      </c>
      <c r="F20" s="18">
        <f t="shared" si="0"/>
        <v>3</v>
      </c>
      <c r="G20" s="19">
        <v>9</v>
      </c>
      <c r="H20" s="20">
        <v>3.5</v>
      </c>
      <c r="I20" s="20">
        <v>4.67</v>
      </c>
      <c r="J20" s="25">
        <v>4.05</v>
      </c>
      <c r="K20" s="21">
        <v>789</v>
      </c>
      <c r="L20" s="21">
        <v>642</v>
      </c>
      <c r="M20" s="32">
        <v>728.1</v>
      </c>
    </row>
    <row r="21" spans="1:13" ht="21" customHeight="1" thickBot="1">
      <c r="A21" s="47" t="s">
        <v>96</v>
      </c>
      <c r="B21" s="37" t="s">
        <v>15</v>
      </c>
      <c r="C21" s="38">
        <v>20</v>
      </c>
      <c r="D21" s="39">
        <v>6</v>
      </c>
      <c r="E21" s="40">
        <v>11</v>
      </c>
      <c r="F21" s="41">
        <f t="shared" si="0"/>
        <v>1.8333333333333333</v>
      </c>
      <c r="G21" s="33">
        <v>1</v>
      </c>
      <c r="H21" s="42"/>
      <c r="I21" s="42"/>
      <c r="J21" s="43">
        <v>4.5</v>
      </c>
      <c r="K21" s="44"/>
      <c r="L21" s="44"/>
      <c r="M21" s="45">
        <v>712.08</v>
      </c>
    </row>
    <row r="22" spans="1:13" ht="27.95" customHeight="1" thickBot="1">
      <c r="A22" s="82" t="s">
        <v>40</v>
      </c>
      <c r="B22" s="83"/>
      <c r="C22" s="35">
        <f>SUM(C6:C21)</f>
        <v>428</v>
      </c>
      <c r="D22" s="34">
        <f>SUM(D6:D21)</f>
        <v>113</v>
      </c>
      <c r="E22" s="9">
        <f>SUM(E6:E21)</f>
        <v>494</v>
      </c>
      <c r="F22" s="10">
        <f>E22/D22</f>
        <v>4.3716814159292037</v>
      </c>
      <c r="G22" s="36"/>
      <c r="H22" s="11"/>
      <c r="I22" s="11"/>
      <c r="J22" s="11"/>
      <c r="K22" s="11"/>
      <c r="L22" s="11"/>
      <c r="M22" s="12"/>
    </row>
    <row r="23" spans="1:13" ht="26.25" customHeight="1">
      <c r="A23" s="24" t="s">
        <v>97</v>
      </c>
      <c r="B23" s="23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</sheetData>
  <mergeCells count="9">
    <mergeCell ref="F4:F5"/>
    <mergeCell ref="G4:G5"/>
    <mergeCell ref="A22:B22"/>
    <mergeCell ref="A1:M1"/>
    <mergeCell ref="B4:B5"/>
    <mergeCell ref="A4:A5"/>
    <mergeCell ref="C4:C5"/>
    <mergeCell ref="D4:D5"/>
    <mergeCell ref="E4:E5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9" fitToHeight="2" orientation="portrait" r:id="rId1"/>
  <ignoredErrors>
    <ignoredError sqref="F4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workbookViewId="0">
      <pane ySplit="5" topLeftCell="A6" activePane="bottomLeft" state="frozen"/>
      <selection pane="bottomLeft" activeCell="A4" sqref="A4:A5"/>
    </sheetView>
  </sheetViews>
  <sheetFormatPr defaultColWidth="9" defaultRowHeight="16.5"/>
  <cols>
    <col min="1" max="1" width="21.25" style="1" customWidth="1"/>
    <col min="2" max="2" width="28" style="2" bestFit="1" customWidth="1"/>
    <col min="3" max="3" width="8.375" style="2" customWidth="1"/>
    <col min="4" max="13" width="8.375" style="1" customWidth="1"/>
    <col min="14" max="16384" width="9" style="1"/>
  </cols>
  <sheetData>
    <row r="1" spans="1:13" ht="36.75" customHeight="1">
      <c r="A1" s="84" t="s">
        <v>128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spans="1:13" ht="20.100000000000001" customHeight="1">
      <c r="A2" s="79" t="s">
        <v>129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.100000000000001" customHeight="1" thickBot="1">
      <c r="A3" s="79" t="s">
        <v>130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48" customHeight="1">
      <c r="A4" s="87" t="s">
        <v>99</v>
      </c>
      <c r="B4" s="85" t="s">
        <v>37</v>
      </c>
      <c r="C4" s="85" t="s">
        <v>36</v>
      </c>
      <c r="D4" s="80" t="s">
        <v>20</v>
      </c>
      <c r="E4" s="80" t="s">
        <v>21</v>
      </c>
      <c r="F4" s="80" t="s">
        <v>32</v>
      </c>
      <c r="G4" s="80" t="s">
        <v>41</v>
      </c>
      <c r="H4" s="80" t="s">
        <v>56</v>
      </c>
      <c r="I4" s="85"/>
      <c r="J4" s="85"/>
      <c r="K4" s="80" t="s">
        <v>55</v>
      </c>
      <c r="L4" s="85"/>
      <c r="M4" s="91"/>
    </row>
    <row r="5" spans="1:13" ht="33">
      <c r="A5" s="88"/>
      <c r="B5" s="86"/>
      <c r="C5" s="86"/>
      <c r="D5" s="81"/>
      <c r="E5" s="81"/>
      <c r="F5" s="81"/>
      <c r="G5" s="81"/>
      <c r="H5" s="26" t="s">
        <v>35</v>
      </c>
      <c r="I5" s="26" t="s">
        <v>34</v>
      </c>
      <c r="J5" s="26" t="s">
        <v>33</v>
      </c>
      <c r="K5" s="26" t="s">
        <v>35</v>
      </c>
      <c r="L5" s="26" t="s">
        <v>34</v>
      </c>
      <c r="M5" s="31" t="s">
        <v>33</v>
      </c>
    </row>
    <row r="6" spans="1:13" ht="21" customHeight="1">
      <c r="A6" s="54" t="s">
        <v>100</v>
      </c>
      <c r="B6" s="14" t="s">
        <v>31</v>
      </c>
      <c r="C6" s="15">
        <v>21</v>
      </c>
      <c r="D6" s="4">
        <v>5</v>
      </c>
      <c r="E6" s="4">
        <v>16</v>
      </c>
      <c r="F6" s="49">
        <f>E6/D6</f>
        <v>3.2</v>
      </c>
      <c r="G6" s="50">
        <v>9</v>
      </c>
      <c r="H6" s="3">
        <v>3.25</v>
      </c>
      <c r="I6" s="3">
        <v>5.25</v>
      </c>
      <c r="J6" s="73">
        <v>4.29</v>
      </c>
      <c r="K6" s="51">
        <v>751</v>
      </c>
      <c r="L6" s="51">
        <v>622</v>
      </c>
      <c r="M6" s="32">
        <v>682.38</v>
      </c>
    </row>
    <row r="7" spans="1:13" ht="21" customHeight="1">
      <c r="A7" s="54" t="s">
        <v>101</v>
      </c>
      <c r="B7" s="14" t="s">
        <v>0</v>
      </c>
      <c r="C7" s="15">
        <v>20</v>
      </c>
      <c r="D7" s="4">
        <v>10</v>
      </c>
      <c r="E7" s="4">
        <v>24</v>
      </c>
      <c r="F7" s="48">
        <f t="shared" ref="F7:F55" si="0">E7/D7</f>
        <v>2.4</v>
      </c>
      <c r="G7" s="50">
        <v>13</v>
      </c>
      <c r="H7" s="3">
        <v>3.75</v>
      </c>
      <c r="I7" s="3">
        <v>6.33</v>
      </c>
      <c r="J7" s="73">
        <v>5.15</v>
      </c>
      <c r="K7" s="51">
        <v>720</v>
      </c>
      <c r="L7" s="51">
        <v>404</v>
      </c>
      <c r="M7" s="32">
        <v>572</v>
      </c>
    </row>
    <row r="8" spans="1:13" ht="21" customHeight="1">
      <c r="A8" s="54" t="s">
        <v>101</v>
      </c>
      <c r="B8" s="14" t="s">
        <v>48</v>
      </c>
      <c r="C8" s="15">
        <v>21</v>
      </c>
      <c r="D8" s="4">
        <v>6</v>
      </c>
      <c r="E8" s="4">
        <v>17</v>
      </c>
      <c r="F8" s="49">
        <f t="shared" si="0"/>
        <v>2.8333333333333335</v>
      </c>
      <c r="G8" s="50">
        <v>8</v>
      </c>
      <c r="H8" s="7"/>
      <c r="I8" s="7"/>
      <c r="J8" s="73">
        <v>4.5</v>
      </c>
      <c r="K8" s="52"/>
      <c r="L8" s="52"/>
      <c r="M8" s="32">
        <v>627.5</v>
      </c>
    </row>
    <row r="9" spans="1:13" ht="21" customHeight="1">
      <c r="A9" s="55" t="s">
        <v>102</v>
      </c>
      <c r="B9" s="14" t="s">
        <v>30</v>
      </c>
      <c r="C9" s="15">
        <v>21</v>
      </c>
      <c r="D9" s="4">
        <v>10</v>
      </c>
      <c r="E9" s="4">
        <v>27</v>
      </c>
      <c r="F9" s="49">
        <f t="shared" si="0"/>
        <v>2.7</v>
      </c>
      <c r="G9" s="50">
        <v>14</v>
      </c>
      <c r="H9" s="3">
        <v>4.5</v>
      </c>
      <c r="I9" s="3">
        <v>5.5</v>
      </c>
      <c r="J9" s="73">
        <v>4.9000000000000004</v>
      </c>
      <c r="K9" s="51">
        <v>677</v>
      </c>
      <c r="L9" s="51">
        <v>491.5</v>
      </c>
      <c r="M9" s="32">
        <v>590.54999999999995</v>
      </c>
    </row>
    <row r="10" spans="1:13" ht="21" customHeight="1">
      <c r="A10" s="55" t="s">
        <v>103</v>
      </c>
      <c r="B10" s="14" t="s">
        <v>1</v>
      </c>
      <c r="C10" s="15">
        <v>13</v>
      </c>
      <c r="D10" s="4">
        <v>7</v>
      </c>
      <c r="E10" s="4">
        <v>23</v>
      </c>
      <c r="F10" s="49">
        <f t="shared" si="0"/>
        <v>3.2857142857142856</v>
      </c>
      <c r="G10" s="50">
        <v>14</v>
      </c>
      <c r="H10" s="3">
        <v>4</v>
      </c>
      <c r="I10" s="3">
        <v>5.33</v>
      </c>
      <c r="J10" s="73">
        <v>4.87</v>
      </c>
      <c r="K10" s="51">
        <v>699</v>
      </c>
      <c r="L10" s="51">
        <v>504</v>
      </c>
      <c r="M10" s="32">
        <v>582.36</v>
      </c>
    </row>
    <row r="11" spans="1:13" ht="21" customHeight="1">
      <c r="A11" s="55" t="s">
        <v>101</v>
      </c>
      <c r="B11" s="14" t="s">
        <v>42</v>
      </c>
      <c r="C11" s="15">
        <v>28</v>
      </c>
      <c r="D11" s="4">
        <v>4</v>
      </c>
      <c r="E11" s="4">
        <v>15</v>
      </c>
      <c r="F11" s="49">
        <f t="shared" si="0"/>
        <v>3.75</v>
      </c>
      <c r="G11" s="50">
        <v>10</v>
      </c>
      <c r="H11" s="3">
        <v>3.5</v>
      </c>
      <c r="I11" s="3">
        <v>5</v>
      </c>
      <c r="J11" s="73">
        <v>4.5</v>
      </c>
      <c r="K11" s="51">
        <v>643</v>
      </c>
      <c r="L11" s="51">
        <v>559</v>
      </c>
      <c r="M11" s="32">
        <v>602.75</v>
      </c>
    </row>
    <row r="12" spans="1:13" ht="21" customHeight="1">
      <c r="A12" s="55" t="s">
        <v>104</v>
      </c>
      <c r="B12" s="14" t="s">
        <v>66</v>
      </c>
      <c r="C12" s="15">
        <v>41</v>
      </c>
      <c r="D12" s="4">
        <v>15</v>
      </c>
      <c r="E12" s="4">
        <v>35</v>
      </c>
      <c r="F12" s="49">
        <f t="shared" si="0"/>
        <v>2.3333333333333335</v>
      </c>
      <c r="G12" s="50">
        <v>18</v>
      </c>
      <c r="H12" s="3">
        <v>4</v>
      </c>
      <c r="I12" s="3">
        <v>6</v>
      </c>
      <c r="J12" s="73">
        <v>4.68</v>
      </c>
      <c r="K12" s="51">
        <v>710</v>
      </c>
      <c r="L12" s="51">
        <v>471.5</v>
      </c>
      <c r="M12" s="32">
        <v>625.13</v>
      </c>
    </row>
    <row r="13" spans="1:13" ht="21" customHeight="1">
      <c r="A13" s="55" t="s">
        <v>105</v>
      </c>
      <c r="B13" s="14" t="s">
        <v>43</v>
      </c>
      <c r="C13" s="15">
        <v>24</v>
      </c>
      <c r="D13" s="4">
        <v>5</v>
      </c>
      <c r="E13" s="4">
        <v>8</v>
      </c>
      <c r="F13" s="49">
        <f t="shared" si="0"/>
        <v>1.6</v>
      </c>
      <c r="G13" s="50">
        <v>1</v>
      </c>
      <c r="H13" s="3">
        <v>3.75</v>
      </c>
      <c r="I13" s="3">
        <v>4.75</v>
      </c>
      <c r="J13" s="73">
        <v>4.28</v>
      </c>
      <c r="K13" s="51">
        <v>758.5</v>
      </c>
      <c r="L13" s="51">
        <v>615.5</v>
      </c>
      <c r="M13" s="32">
        <v>689.33</v>
      </c>
    </row>
    <row r="14" spans="1:13" ht="21" customHeight="1">
      <c r="A14" s="55" t="s">
        <v>106</v>
      </c>
      <c r="B14" s="14" t="s">
        <v>3</v>
      </c>
      <c r="C14" s="15">
        <v>27</v>
      </c>
      <c r="D14" s="4">
        <v>4</v>
      </c>
      <c r="E14" s="4">
        <v>50</v>
      </c>
      <c r="F14" s="49">
        <f t="shared" si="0"/>
        <v>12.5</v>
      </c>
      <c r="G14" s="50">
        <v>9</v>
      </c>
      <c r="H14" s="3">
        <v>1.75</v>
      </c>
      <c r="I14" s="3">
        <v>2.5</v>
      </c>
      <c r="J14" s="73">
        <v>2</v>
      </c>
      <c r="K14" s="51">
        <v>950.5</v>
      </c>
      <c r="L14" s="51">
        <v>894.5</v>
      </c>
      <c r="M14" s="32">
        <v>925.38</v>
      </c>
    </row>
    <row r="15" spans="1:13" ht="21" customHeight="1">
      <c r="A15" s="55" t="s">
        <v>106</v>
      </c>
      <c r="B15" s="14" t="s">
        <v>5</v>
      </c>
      <c r="C15" s="15">
        <v>22</v>
      </c>
      <c r="D15" s="4">
        <v>1</v>
      </c>
      <c r="E15" s="4">
        <v>13</v>
      </c>
      <c r="F15" s="49">
        <f t="shared" si="0"/>
        <v>13</v>
      </c>
      <c r="G15" s="50">
        <v>9</v>
      </c>
      <c r="H15" s="7"/>
      <c r="I15" s="7"/>
      <c r="J15" s="73">
        <v>4.63</v>
      </c>
      <c r="K15" s="52"/>
      <c r="L15" s="52"/>
      <c r="M15" s="32">
        <v>648</v>
      </c>
    </row>
    <row r="16" spans="1:13" ht="21" customHeight="1">
      <c r="A16" s="55" t="s">
        <v>107</v>
      </c>
      <c r="B16" s="14" t="s">
        <v>49</v>
      </c>
      <c r="C16" s="15">
        <v>19</v>
      </c>
      <c r="D16" s="4">
        <v>5</v>
      </c>
      <c r="E16" s="4">
        <v>33</v>
      </c>
      <c r="F16" s="49">
        <f t="shared" si="0"/>
        <v>6.6</v>
      </c>
      <c r="G16" s="50">
        <v>5</v>
      </c>
      <c r="H16" s="3">
        <v>2.5</v>
      </c>
      <c r="I16" s="3">
        <v>3.25</v>
      </c>
      <c r="J16" s="73">
        <v>3</v>
      </c>
      <c r="K16" s="51">
        <v>858</v>
      </c>
      <c r="L16" s="51">
        <v>835</v>
      </c>
      <c r="M16" s="32">
        <v>845.4</v>
      </c>
    </row>
    <row r="17" spans="1:14" ht="21" customHeight="1">
      <c r="A17" s="55" t="s">
        <v>108</v>
      </c>
      <c r="B17" s="14" t="s">
        <v>28</v>
      </c>
      <c r="C17" s="15">
        <v>20</v>
      </c>
      <c r="D17" s="4">
        <v>6</v>
      </c>
      <c r="E17" s="4">
        <v>16</v>
      </c>
      <c r="F17" s="49">
        <f t="shared" si="0"/>
        <v>2.6666666666666665</v>
      </c>
      <c r="G17" s="50">
        <v>5</v>
      </c>
      <c r="H17" s="3">
        <v>4</v>
      </c>
      <c r="I17" s="3">
        <v>5.25</v>
      </c>
      <c r="J17" s="73">
        <v>4.75</v>
      </c>
      <c r="K17" s="51">
        <v>681.63</v>
      </c>
      <c r="L17" s="51">
        <v>588.5</v>
      </c>
      <c r="M17" s="32">
        <v>633.03</v>
      </c>
    </row>
    <row r="18" spans="1:14" ht="21" customHeight="1">
      <c r="A18" s="55" t="s">
        <v>109</v>
      </c>
      <c r="B18" s="14" t="s">
        <v>27</v>
      </c>
      <c r="C18" s="15">
        <v>20</v>
      </c>
      <c r="D18" s="4">
        <v>5</v>
      </c>
      <c r="E18" s="4">
        <v>14</v>
      </c>
      <c r="F18" s="49">
        <f t="shared" si="0"/>
        <v>2.8</v>
      </c>
      <c r="G18" s="50">
        <v>4</v>
      </c>
      <c r="H18" s="3">
        <v>2.33</v>
      </c>
      <c r="I18" s="3">
        <v>4</v>
      </c>
      <c r="J18" s="73">
        <v>3.08</v>
      </c>
      <c r="K18" s="51">
        <v>899.48</v>
      </c>
      <c r="L18" s="51">
        <v>764.88</v>
      </c>
      <c r="M18" s="32">
        <v>842.19</v>
      </c>
    </row>
    <row r="19" spans="1:14" ht="21" customHeight="1">
      <c r="A19" s="55" t="s">
        <v>110</v>
      </c>
      <c r="B19" s="14" t="s">
        <v>45</v>
      </c>
      <c r="C19" s="15">
        <v>25</v>
      </c>
      <c r="D19" s="4">
        <v>10</v>
      </c>
      <c r="E19" s="4">
        <v>19</v>
      </c>
      <c r="F19" s="49">
        <f t="shared" si="0"/>
        <v>1.9</v>
      </c>
      <c r="G19" s="50">
        <v>9</v>
      </c>
      <c r="H19" s="3">
        <v>3.25</v>
      </c>
      <c r="I19" s="3">
        <v>5.5</v>
      </c>
      <c r="J19" s="73">
        <v>4.1399999999999997</v>
      </c>
      <c r="K19" s="51">
        <v>731.85</v>
      </c>
      <c r="L19" s="51">
        <v>478.4</v>
      </c>
      <c r="M19" s="32">
        <v>649.30999999999995</v>
      </c>
      <c r="N19" s="8"/>
    </row>
    <row r="20" spans="1:14" ht="21" customHeight="1">
      <c r="A20" s="55" t="s">
        <v>110</v>
      </c>
      <c r="B20" s="14" t="s">
        <v>51</v>
      </c>
      <c r="C20" s="15">
        <v>19</v>
      </c>
      <c r="D20" s="4">
        <v>7</v>
      </c>
      <c r="E20" s="4">
        <v>13</v>
      </c>
      <c r="F20" s="49">
        <f t="shared" si="0"/>
        <v>1.8571428571428572</v>
      </c>
      <c r="G20" s="50">
        <v>6</v>
      </c>
      <c r="H20" s="3">
        <v>4.5</v>
      </c>
      <c r="I20" s="3">
        <v>6.25</v>
      </c>
      <c r="J20" s="73">
        <v>5.17</v>
      </c>
      <c r="K20" s="51">
        <v>658</v>
      </c>
      <c r="L20" s="51">
        <v>382.48</v>
      </c>
      <c r="M20" s="32">
        <v>531.85</v>
      </c>
    </row>
    <row r="21" spans="1:14" ht="21" customHeight="1">
      <c r="A21" s="55" t="s">
        <v>109</v>
      </c>
      <c r="B21" s="14" t="s">
        <v>68</v>
      </c>
      <c r="C21" s="15">
        <v>23</v>
      </c>
      <c r="D21" s="4">
        <v>5</v>
      </c>
      <c r="E21" s="4">
        <v>9</v>
      </c>
      <c r="F21" s="49">
        <f t="shared" si="0"/>
        <v>1.8</v>
      </c>
      <c r="G21" s="50">
        <v>4</v>
      </c>
      <c r="H21" s="3">
        <v>5</v>
      </c>
      <c r="I21" s="3">
        <v>5.25</v>
      </c>
      <c r="J21" s="73">
        <v>5.08</v>
      </c>
      <c r="K21" s="51">
        <v>617</v>
      </c>
      <c r="L21" s="51">
        <v>534.4</v>
      </c>
      <c r="M21" s="32">
        <v>568.79999999999995</v>
      </c>
    </row>
    <row r="22" spans="1:14" ht="21" customHeight="1">
      <c r="A22" s="55" t="s">
        <v>109</v>
      </c>
      <c r="B22" s="14" t="s">
        <v>69</v>
      </c>
      <c r="C22" s="15">
        <v>22</v>
      </c>
      <c r="D22" s="4">
        <v>9</v>
      </c>
      <c r="E22" s="4">
        <v>13</v>
      </c>
      <c r="F22" s="49">
        <f t="shared" si="0"/>
        <v>1.4444444444444444</v>
      </c>
      <c r="G22" s="50">
        <v>4</v>
      </c>
      <c r="H22" s="3">
        <v>3.75</v>
      </c>
      <c r="I22" s="3">
        <v>7</v>
      </c>
      <c r="J22" s="73">
        <v>5.32</v>
      </c>
      <c r="K22" s="51">
        <v>729.63</v>
      </c>
      <c r="L22" s="51">
        <v>449.5</v>
      </c>
      <c r="M22" s="32">
        <v>580.62</v>
      </c>
    </row>
    <row r="23" spans="1:14" ht="21" customHeight="1">
      <c r="A23" s="55" t="s">
        <v>110</v>
      </c>
      <c r="B23" s="14" t="s">
        <v>70</v>
      </c>
      <c r="C23" s="15">
        <v>22</v>
      </c>
      <c r="D23" s="4">
        <v>7</v>
      </c>
      <c r="E23" s="4">
        <v>20</v>
      </c>
      <c r="F23" s="49">
        <f t="shared" si="0"/>
        <v>2.8571428571428572</v>
      </c>
      <c r="G23" s="50">
        <v>5</v>
      </c>
      <c r="H23" s="3">
        <v>4.33</v>
      </c>
      <c r="I23" s="3">
        <v>5</v>
      </c>
      <c r="J23" s="73">
        <v>4.76</v>
      </c>
      <c r="K23" s="51">
        <v>714.78</v>
      </c>
      <c r="L23" s="51">
        <v>585.85</v>
      </c>
      <c r="M23" s="32">
        <v>642.29999999999995</v>
      </c>
    </row>
    <row r="24" spans="1:14" ht="21" customHeight="1">
      <c r="A24" s="55" t="s">
        <v>109</v>
      </c>
      <c r="B24" s="14" t="s">
        <v>73</v>
      </c>
      <c r="C24" s="15">
        <v>18</v>
      </c>
      <c r="D24" s="4">
        <v>3</v>
      </c>
      <c r="E24" s="4">
        <v>6</v>
      </c>
      <c r="F24" s="49">
        <f t="shared" si="0"/>
        <v>2</v>
      </c>
      <c r="G24" s="50">
        <v>3</v>
      </c>
      <c r="H24" s="7"/>
      <c r="I24" s="7"/>
      <c r="J24" s="73">
        <v>6.34</v>
      </c>
      <c r="K24" s="52"/>
      <c r="L24" s="52"/>
      <c r="M24" s="32">
        <v>450</v>
      </c>
    </row>
    <row r="25" spans="1:14" ht="21" customHeight="1">
      <c r="A25" s="55" t="s">
        <v>111</v>
      </c>
      <c r="B25" s="14" t="s">
        <v>72</v>
      </c>
      <c r="C25" s="15">
        <v>26</v>
      </c>
      <c r="D25" s="4">
        <v>5</v>
      </c>
      <c r="E25" s="4">
        <v>29</v>
      </c>
      <c r="F25" s="49">
        <f t="shared" si="0"/>
        <v>5.8</v>
      </c>
      <c r="G25" s="50">
        <v>23</v>
      </c>
      <c r="H25" s="3">
        <v>4.5</v>
      </c>
      <c r="I25" s="3">
        <v>5.75</v>
      </c>
      <c r="J25" s="73">
        <v>5.15</v>
      </c>
      <c r="K25" s="51">
        <v>746.2</v>
      </c>
      <c r="L25" s="51">
        <v>561.08000000000004</v>
      </c>
      <c r="M25" s="32">
        <v>608.24</v>
      </c>
    </row>
    <row r="26" spans="1:14" ht="21" customHeight="1">
      <c r="A26" s="55" t="s">
        <v>112</v>
      </c>
      <c r="B26" s="14" t="s">
        <v>71</v>
      </c>
      <c r="C26" s="15">
        <v>23</v>
      </c>
      <c r="D26" s="4">
        <v>8</v>
      </c>
      <c r="E26" s="4">
        <v>19</v>
      </c>
      <c r="F26" s="49">
        <f t="shared" si="0"/>
        <v>2.375</v>
      </c>
      <c r="G26" s="50">
        <v>11</v>
      </c>
      <c r="H26" s="3">
        <v>4.25</v>
      </c>
      <c r="I26" s="3">
        <v>5.33</v>
      </c>
      <c r="J26" s="73">
        <v>4.8</v>
      </c>
      <c r="K26" s="51">
        <v>724</v>
      </c>
      <c r="L26" s="51">
        <v>504.6</v>
      </c>
      <c r="M26" s="32">
        <v>574.46</v>
      </c>
    </row>
    <row r="27" spans="1:14" ht="21" customHeight="1">
      <c r="A27" s="55" t="s">
        <v>111</v>
      </c>
      <c r="B27" s="14" t="s">
        <v>59</v>
      </c>
      <c r="C27" s="15">
        <v>40</v>
      </c>
      <c r="D27" s="4">
        <v>9</v>
      </c>
      <c r="E27" s="4">
        <v>20</v>
      </c>
      <c r="F27" s="49">
        <f t="shared" si="0"/>
        <v>2.2222222222222223</v>
      </c>
      <c r="G27" s="50">
        <v>11</v>
      </c>
      <c r="H27" s="3">
        <v>4</v>
      </c>
      <c r="I27" s="3">
        <v>5.33</v>
      </c>
      <c r="J27" s="73">
        <v>4.72</v>
      </c>
      <c r="K27" s="51">
        <v>663</v>
      </c>
      <c r="L27" s="51">
        <v>461</v>
      </c>
      <c r="M27" s="32">
        <v>598.71</v>
      </c>
    </row>
    <row r="28" spans="1:14" ht="21" customHeight="1">
      <c r="A28" s="55" t="s">
        <v>112</v>
      </c>
      <c r="B28" s="14" t="s">
        <v>74</v>
      </c>
      <c r="C28" s="15">
        <v>24</v>
      </c>
      <c r="D28" s="4">
        <v>7</v>
      </c>
      <c r="E28" s="4">
        <v>19</v>
      </c>
      <c r="F28" s="49">
        <f t="shared" si="0"/>
        <v>2.7142857142857144</v>
      </c>
      <c r="G28" s="50">
        <v>12</v>
      </c>
      <c r="H28" s="3">
        <v>4.67</v>
      </c>
      <c r="I28" s="3">
        <v>6</v>
      </c>
      <c r="J28" s="73">
        <v>5.32</v>
      </c>
      <c r="K28" s="51">
        <v>686</v>
      </c>
      <c r="L28" s="51">
        <v>434.93</v>
      </c>
      <c r="M28" s="32">
        <v>568.64</v>
      </c>
    </row>
    <row r="29" spans="1:14" ht="21" customHeight="1">
      <c r="A29" s="55" t="s">
        <v>113</v>
      </c>
      <c r="B29" s="14" t="s">
        <v>75</v>
      </c>
      <c r="C29" s="15">
        <v>49</v>
      </c>
      <c r="D29" s="4">
        <v>8</v>
      </c>
      <c r="E29" s="4">
        <v>34</v>
      </c>
      <c r="F29" s="49">
        <f t="shared" si="0"/>
        <v>4.25</v>
      </c>
      <c r="G29" s="50">
        <v>26</v>
      </c>
      <c r="H29" s="3">
        <v>3.67</v>
      </c>
      <c r="I29" s="3">
        <v>6.5</v>
      </c>
      <c r="J29" s="73">
        <v>4.63</v>
      </c>
      <c r="K29" s="51">
        <v>829</v>
      </c>
      <c r="L29" s="51">
        <v>406.03</v>
      </c>
      <c r="M29" s="32">
        <v>653.86</v>
      </c>
    </row>
    <row r="30" spans="1:14" ht="21" customHeight="1">
      <c r="A30" s="55" t="s">
        <v>114</v>
      </c>
      <c r="B30" s="14" t="s">
        <v>60</v>
      </c>
      <c r="C30" s="15">
        <v>51</v>
      </c>
      <c r="D30" s="4">
        <v>15</v>
      </c>
      <c r="E30" s="4">
        <v>43</v>
      </c>
      <c r="F30" s="49">
        <f t="shared" si="0"/>
        <v>2.8666666666666667</v>
      </c>
      <c r="G30" s="50">
        <v>24</v>
      </c>
      <c r="H30" s="3">
        <v>4</v>
      </c>
      <c r="I30" s="3">
        <v>5.5</v>
      </c>
      <c r="J30" s="73">
        <v>4.79</v>
      </c>
      <c r="K30" s="51">
        <v>709.38</v>
      </c>
      <c r="L30" s="51">
        <v>480.2</v>
      </c>
      <c r="M30" s="32">
        <v>624.73</v>
      </c>
    </row>
    <row r="31" spans="1:14" ht="21" customHeight="1">
      <c r="A31" s="55" t="s">
        <v>111</v>
      </c>
      <c r="B31" s="14" t="s">
        <v>76</v>
      </c>
      <c r="C31" s="15">
        <v>26</v>
      </c>
      <c r="D31" s="4">
        <v>8</v>
      </c>
      <c r="E31" s="4">
        <v>19</v>
      </c>
      <c r="F31" s="49">
        <f t="shared" si="0"/>
        <v>2.375</v>
      </c>
      <c r="G31" s="50">
        <v>9</v>
      </c>
      <c r="H31" s="3">
        <v>4</v>
      </c>
      <c r="I31" s="3">
        <v>5</v>
      </c>
      <c r="J31" s="73">
        <v>4.42</v>
      </c>
      <c r="K31" s="51">
        <v>730.5</v>
      </c>
      <c r="L31" s="51">
        <v>609.58000000000004</v>
      </c>
      <c r="M31" s="32">
        <v>683.04</v>
      </c>
      <c r="N31" s="5"/>
    </row>
    <row r="32" spans="1:14" ht="21" customHeight="1">
      <c r="A32" s="55" t="s">
        <v>114</v>
      </c>
      <c r="B32" s="14" t="s">
        <v>46</v>
      </c>
      <c r="C32" s="15">
        <v>26</v>
      </c>
      <c r="D32" s="4">
        <v>4</v>
      </c>
      <c r="E32" s="4">
        <v>26</v>
      </c>
      <c r="F32" s="49">
        <f t="shared" si="0"/>
        <v>6.5</v>
      </c>
      <c r="G32" s="50">
        <v>6</v>
      </c>
      <c r="H32" s="3">
        <v>3.75</v>
      </c>
      <c r="I32" s="3">
        <v>4.75</v>
      </c>
      <c r="J32" s="73">
        <v>4.4800000000000004</v>
      </c>
      <c r="K32" s="51">
        <v>748.75</v>
      </c>
      <c r="L32" s="51">
        <v>688.5</v>
      </c>
      <c r="M32" s="32">
        <v>707.06</v>
      </c>
    </row>
    <row r="33" spans="1:14" ht="21" customHeight="1">
      <c r="A33" s="55" t="s">
        <v>111</v>
      </c>
      <c r="B33" s="14" t="s">
        <v>77</v>
      </c>
      <c r="C33" s="50">
        <v>19</v>
      </c>
      <c r="D33" s="4">
        <v>5</v>
      </c>
      <c r="E33" s="4">
        <v>18</v>
      </c>
      <c r="F33" s="49">
        <f t="shared" si="0"/>
        <v>3.6</v>
      </c>
      <c r="G33" s="13">
        <v>5</v>
      </c>
      <c r="H33" s="3">
        <v>3.25</v>
      </c>
      <c r="I33" s="3">
        <v>5.25</v>
      </c>
      <c r="J33" s="73">
        <v>4.2</v>
      </c>
      <c r="K33" s="51">
        <v>788</v>
      </c>
      <c r="L33" s="51">
        <v>676.7</v>
      </c>
      <c r="M33" s="32">
        <v>722.8</v>
      </c>
    </row>
    <row r="34" spans="1:14" ht="21" customHeight="1">
      <c r="A34" s="55" t="s">
        <v>111</v>
      </c>
      <c r="B34" s="14" t="s">
        <v>78</v>
      </c>
      <c r="C34" s="15">
        <v>22</v>
      </c>
      <c r="D34" s="4">
        <v>4</v>
      </c>
      <c r="E34" s="4">
        <v>11</v>
      </c>
      <c r="F34" s="49">
        <f t="shared" si="0"/>
        <v>2.75</v>
      </c>
      <c r="G34" s="50">
        <v>7</v>
      </c>
      <c r="H34" s="3">
        <v>3.75</v>
      </c>
      <c r="I34" s="3">
        <v>5.25</v>
      </c>
      <c r="J34" s="73">
        <v>4.4400000000000004</v>
      </c>
      <c r="K34" s="51">
        <v>724.85</v>
      </c>
      <c r="L34" s="51">
        <v>616.67999999999995</v>
      </c>
      <c r="M34" s="32">
        <v>672.66</v>
      </c>
    </row>
    <row r="35" spans="1:14" ht="21" customHeight="1">
      <c r="A35" s="55" t="s">
        <v>115</v>
      </c>
      <c r="B35" s="14" t="s">
        <v>65</v>
      </c>
      <c r="C35" s="15">
        <v>24</v>
      </c>
      <c r="D35" s="4">
        <v>5</v>
      </c>
      <c r="E35" s="4">
        <v>18</v>
      </c>
      <c r="F35" s="49">
        <f t="shared" si="0"/>
        <v>3.6</v>
      </c>
      <c r="G35" s="50">
        <v>10</v>
      </c>
      <c r="H35" s="3">
        <v>3.75</v>
      </c>
      <c r="I35" s="3">
        <v>5.67</v>
      </c>
      <c r="J35" s="73">
        <v>4.7699999999999996</v>
      </c>
      <c r="K35" s="51">
        <v>778</v>
      </c>
      <c r="L35" s="51">
        <v>544</v>
      </c>
      <c r="M35" s="32">
        <v>647.96</v>
      </c>
    </row>
    <row r="36" spans="1:14" ht="21" customHeight="1">
      <c r="A36" s="55" t="s">
        <v>115</v>
      </c>
      <c r="B36" s="14" t="s">
        <v>44</v>
      </c>
      <c r="C36" s="15">
        <v>24</v>
      </c>
      <c r="D36" s="4">
        <v>4</v>
      </c>
      <c r="E36" s="4">
        <v>14</v>
      </c>
      <c r="F36" s="49">
        <f t="shared" si="0"/>
        <v>3.5</v>
      </c>
      <c r="G36" s="50">
        <v>10</v>
      </c>
      <c r="H36" s="3">
        <v>3.67</v>
      </c>
      <c r="I36" s="3">
        <v>5.75</v>
      </c>
      <c r="J36" s="73">
        <v>4.58</v>
      </c>
      <c r="K36" s="51">
        <v>736.75</v>
      </c>
      <c r="L36" s="51">
        <v>503.25</v>
      </c>
      <c r="M36" s="32">
        <v>653.66999999999996</v>
      </c>
    </row>
    <row r="37" spans="1:14" ht="21" customHeight="1">
      <c r="A37" s="55" t="s">
        <v>116</v>
      </c>
      <c r="B37" s="14" t="s">
        <v>7</v>
      </c>
      <c r="C37" s="15">
        <v>21</v>
      </c>
      <c r="D37" s="4">
        <v>6</v>
      </c>
      <c r="E37" s="4">
        <v>12</v>
      </c>
      <c r="F37" s="49">
        <f t="shared" si="0"/>
        <v>2</v>
      </c>
      <c r="G37" s="50">
        <v>5</v>
      </c>
      <c r="H37" s="3">
        <v>4.67</v>
      </c>
      <c r="I37" s="3">
        <v>5</v>
      </c>
      <c r="J37" s="73">
        <v>4.8899999999999997</v>
      </c>
      <c r="K37" s="51">
        <v>573</v>
      </c>
      <c r="L37" s="51">
        <v>655.65</v>
      </c>
      <c r="M37" s="32">
        <v>625.88</v>
      </c>
      <c r="N37" s="5"/>
    </row>
    <row r="38" spans="1:14" ht="21" customHeight="1">
      <c r="A38" s="55" t="s">
        <v>111</v>
      </c>
      <c r="B38" s="14" t="s">
        <v>52</v>
      </c>
      <c r="C38" s="15">
        <v>31</v>
      </c>
      <c r="D38" s="4">
        <v>12</v>
      </c>
      <c r="E38" s="4">
        <v>27</v>
      </c>
      <c r="F38" s="49">
        <f t="shared" si="0"/>
        <v>2.25</v>
      </c>
      <c r="G38" s="50">
        <v>13</v>
      </c>
      <c r="H38" s="3">
        <v>4.67</v>
      </c>
      <c r="I38" s="3">
        <v>6</v>
      </c>
      <c r="J38" s="73">
        <v>5.35</v>
      </c>
      <c r="K38" s="51">
        <v>677.5</v>
      </c>
      <c r="L38" s="51">
        <v>431.63</v>
      </c>
      <c r="M38" s="32">
        <v>568.48</v>
      </c>
      <c r="N38" s="5"/>
    </row>
    <row r="39" spans="1:14" ht="21" customHeight="1">
      <c r="A39" s="55" t="s">
        <v>117</v>
      </c>
      <c r="B39" s="14" t="s">
        <v>10</v>
      </c>
      <c r="C39" s="15">
        <v>25</v>
      </c>
      <c r="D39" s="4">
        <v>7</v>
      </c>
      <c r="E39" s="4">
        <v>14</v>
      </c>
      <c r="F39" s="49">
        <f t="shared" si="0"/>
        <v>2</v>
      </c>
      <c r="G39" s="50">
        <v>7</v>
      </c>
      <c r="H39" s="3">
        <v>5.25</v>
      </c>
      <c r="I39" s="3">
        <v>6</v>
      </c>
      <c r="J39" s="73">
        <v>5.72</v>
      </c>
      <c r="K39" s="51">
        <v>559</v>
      </c>
      <c r="L39" s="51">
        <v>369</v>
      </c>
      <c r="M39" s="32">
        <v>473</v>
      </c>
    </row>
    <row r="40" spans="1:14" ht="21" customHeight="1">
      <c r="A40" s="55" t="s">
        <v>117</v>
      </c>
      <c r="B40" s="14" t="s">
        <v>11</v>
      </c>
      <c r="C40" s="15">
        <v>21</v>
      </c>
      <c r="D40" s="4">
        <v>4</v>
      </c>
      <c r="E40" s="4">
        <v>7</v>
      </c>
      <c r="F40" s="49">
        <f t="shared" si="0"/>
        <v>1.75</v>
      </c>
      <c r="G40" s="50">
        <v>3</v>
      </c>
      <c r="H40" s="3">
        <v>4.25</v>
      </c>
      <c r="I40" s="3">
        <v>5.75</v>
      </c>
      <c r="J40" s="73">
        <v>4.75</v>
      </c>
      <c r="K40" s="51">
        <v>710</v>
      </c>
      <c r="L40" s="51">
        <v>457</v>
      </c>
      <c r="M40" s="32">
        <v>607.5</v>
      </c>
    </row>
    <row r="41" spans="1:14" ht="21" customHeight="1">
      <c r="A41" s="55" t="s">
        <v>118</v>
      </c>
      <c r="B41" s="14" t="s">
        <v>53</v>
      </c>
      <c r="C41" s="15">
        <v>43</v>
      </c>
      <c r="D41" s="4">
        <v>17</v>
      </c>
      <c r="E41" s="4">
        <v>64</v>
      </c>
      <c r="F41" s="49">
        <f t="shared" si="0"/>
        <v>3.7647058823529411</v>
      </c>
      <c r="G41" s="50">
        <v>42</v>
      </c>
      <c r="H41" s="3">
        <v>3.25</v>
      </c>
      <c r="I41" s="3">
        <v>5</v>
      </c>
      <c r="J41" s="73">
        <v>4.17</v>
      </c>
      <c r="K41" s="51">
        <v>757</v>
      </c>
      <c r="L41" s="51">
        <v>611</v>
      </c>
      <c r="M41" s="32">
        <v>668.32</v>
      </c>
    </row>
    <row r="42" spans="1:14" ht="21" customHeight="1">
      <c r="A42" s="55" t="s">
        <v>119</v>
      </c>
      <c r="B42" s="14" t="s">
        <v>79</v>
      </c>
      <c r="C42" s="15">
        <v>24</v>
      </c>
      <c r="D42" s="4">
        <v>5</v>
      </c>
      <c r="E42" s="4">
        <v>8</v>
      </c>
      <c r="F42" s="49">
        <f t="shared" si="0"/>
        <v>1.6</v>
      </c>
      <c r="G42" s="50">
        <v>3</v>
      </c>
      <c r="H42" s="3">
        <v>4.5</v>
      </c>
      <c r="I42" s="3">
        <v>6</v>
      </c>
      <c r="J42" s="73">
        <v>5.25</v>
      </c>
      <c r="K42" s="51">
        <v>645</v>
      </c>
      <c r="L42" s="51">
        <v>437</v>
      </c>
      <c r="M42" s="32">
        <v>526.9</v>
      </c>
    </row>
    <row r="43" spans="1:14" ht="21" customHeight="1">
      <c r="A43" s="55" t="s">
        <v>119</v>
      </c>
      <c r="B43" s="14" t="s">
        <v>81</v>
      </c>
      <c r="C43" s="15">
        <v>24</v>
      </c>
      <c r="D43" s="4">
        <v>6</v>
      </c>
      <c r="E43" s="4">
        <v>15</v>
      </c>
      <c r="F43" s="49">
        <f t="shared" si="0"/>
        <v>2.5</v>
      </c>
      <c r="G43" s="50">
        <v>5</v>
      </c>
      <c r="H43" s="3">
        <v>4.25</v>
      </c>
      <c r="I43" s="3">
        <v>5</v>
      </c>
      <c r="J43" s="73">
        <v>4.6100000000000003</v>
      </c>
      <c r="K43" s="51">
        <v>748.6</v>
      </c>
      <c r="L43" s="51">
        <v>650.38</v>
      </c>
      <c r="M43" s="32">
        <v>686.35</v>
      </c>
    </row>
    <row r="44" spans="1:14" ht="21" customHeight="1">
      <c r="A44" s="55" t="s">
        <v>119</v>
      </c>
      <c r="B44" s="14" t="s">
        <v>80</v>
      </c>
      <c r="C44" s="15">
        <v>24</v>
      </c>
      <c r="D44" s="4">
        <v>7</v>
      </c>
      <c r="E44" s="4">
        <v>15</v>
      </c>
      <c r="F44" s="49">
        <f t="shared" si="0"/>
        <v>2.1428571428571428</v>
      </c>
      <c r="G44" s="50">
        <v>1</v>
      </c>
      <c r="H44" s="3">
        <v>3.25</v>
      </c>
      <c r="I44" s="3">
        <v>5.5</v>
      </c>
      <c r="J44" s="73">
        <v>4.37</v>
      </c>
      <c r="K44" s="51">
        <v>753</v>
      </c>
      <c r="L44" s="51">
        <v>623</v>
      </c>
      <c r="M44" s="32">
        <v>692.4</v>
      </c>
    </row>
    <row r="45" spans="1:14" ht="21" customHeight="1">
      <c r="A45" s="55" t="s">
        <v>120</v>
      </c>
      <c r="B45" s="14" t="s">
        <v>54</v>
      </c>
      <c r="C45" s="15">
        <v>20</v>
      </c>
      <c r="D45" s="4">
        <v>6</v>
      </c>
      <c r="E45" s="4">
        <v>15</v>
      </c>
      <c r="F45" s="49">
        <f t="shared" si="0"/>
        <v>2.5</v>
      </c>
      <c r="G45" s="50">
        <v>5</v>
      </c>
      <c r="H45" s="3">
        <v>4.67</v>
      </c>
      <c r="I45" s="3">
        <v>6.33</v>
      </c>
      <c r="J45" s="73">
        <v>5.5</v>
      </c>
      <c r="K45" s="51">
        <v>632.5</v>
      </c>
      <c r="L45" s="51">
        <v>474</v>
      </c>
      <c r="M45" s="32">
        <v>547</v>
      </c>
    </row>
    <row r="46" spans="1:14" ht="21" customHeight="1">
      <c r="A46" s="55" t="s">
        <v>121</v>
      </c>
      <c r="B46" s="14" t="s">
        <v>61</v>
      </c>
      <c r="C46" s="92">
        <v>31</v>
      </c>
      <c r="D46" s="4">
        <v>5</v>
      </c>
      <c r="E46" s="4">
        <v>16</v>
      </c>
      <c r="F46" s="49">
        <f t="shared" si="0"/>
        <v>3.2</v>
      </c>
      <c r="G46" s="50">
        <v>6</v>
      </c>
      <c r="H46" s="3">
        <v>4.5</v>
      </c>
      <c r="I46" s="3">
        <v>7.33</v>
      </c>
      <c r="J46" s="73">
        <v>5.71</v>
      </c>
      <c r="K46" s="51">
        <v>802.24</v>
      </c>
      <c r="L46" s="51">
        <v>735.23</v>
      </c>
      <c r="M46" s="32">
        <v>759.66</v>
      </c>
    </row>
    <row r="47" spans="1:14" ht="21" customHeight="1">
      <c r="A47" s="55" t="s">
        <v>121</v>
      </c>
      <c r="B47" s="14" t="s">
        <v>62</v>
      </c>
      <c r="C47" s="92"/>
      <c r="D47" s="4">
        <v>5</v>
      </c>
      <c r="E47" s="4">
        <v>12</v>
      </c>
      <c r="F47" s="49">
        <f t="shared" si="0"/>
        <v>2.4</v>
      </c>
      <c r="G47" s="50">
        <v>4</v>
      </c>
      <c r="H47" s="3">
        <v>4.75</v>
      </c>
      <c r="I47" s="3">
        <v>6.5</v>
      </c>
      <c r="J47" s="73">
        <v>5.42</v>
      </c>
      <c r="K47" s="51">
        <v>771.5</v>
      </c>
      <c r="L47" s="51">
        <v>691.55</v>
      </c>
      <c r="M47" s="32">
        <v>740.18</v>
      </c>
    </row>
    <row r="48" spans="1:14" ht="21" customHeight="1">
      <c r="A48" s="55" t="s">
        <v>119</v>
      </c>
      <c r="B48" s="14" t="s">
        <v>63</v>
      </c>
      <c r="C48" s="92"/>
      <c r="D48" s="4">
        <v>7</v>
      </c>
      <c r="E48" s="4">
        <v>24</v>
      </c>
      <c r="F48" s="49">
        <f t="shared" si="0"/>
        <v>3.4285714285714284</v>
      </c>
      <c r="G48" s="50">
        <v>10</v>
      </c>
      <c r="H48" s="3">
        <v>5</v>
      </c>
      <c r="I48" s="3">
        <v>7.5</v>
      </c>
      <c r="J48" s="73">
        <v>6.36</v>
      </c>
      <c r="K48" s="51">
        <v>811.5</v>
      </c>
      <c r="L48" s="51">
        <v>724.58</v>
      </c>
      <c r="M48" s="32">
        <v>763.13</v>
      </c>
    </row>
    <row r="49" spans="1:13" ht="21" customHeight="1">
      <c r="A49" s="55" t="s">
        <v>119</v>
      </c>
      <c r="B49" s="14" t="s">
        <v>64</v>
      </c>
      <c r="C49" s="92"/>
      <c r="D49" s="4">
        <v>1</v>
      </c>
      <c r="E49" s="4">
        <v>2</v>
      </c>
      <c r="F49" s="49">
        <f t="shared" si="0"/>
        <v>2</v>
      </c>
      <c r="G49" s="53"/>
      <c r="H49" s="7"/>
      <c r="I49" s="7"/>
      <c r="J49" s="74"/>
      <c r="K49" s="52"/>
      <c r="L49" s="52"/>
      <c r="M49" s="76"/>
    </row>
    <row r="50" spans="1:13" ht="21" customHeight="1">
      <c r="A50" s="55" t="s">
        <v>122</v>
      </c>
      <c r="B50" s="14" t="s">
        <v>23</v>
      </c>
      <c r="C50" s="15">
        <v>31</v>
      </c>
      <c r="D50" s="4">
        <v>10</v>
      </c>
      <c r="E50" s="4">
        <v>39</v>
      </c>
      <c r="F50" s="49">
        <f t="shared" si="0"/>
        <v>3.9</v>
      </c>
      <c r="G50" s="50">
        <v>14</v>
      </c>
      <c r="H50" s="3">
        <v>3.75</v>
      </c>
      <c r="I50" s="3">
        <v>6.5</v>
      </c>
      <c r="J50" s="73">
        <v>5.01</v>
      </c>
      <c r="K50" s="51">
        <v>840.83</v>
      </c>
      <c r="L50" s="51">
        <v>717.78</v>
      </c>
      <c r="M50" s="32">
        <v>778.55</v>
      </c>
    </row>
    <row r="51" spans="1:13" ht="21" customHeight="1">
      <c r="A51" s="55" t="s">
        <v>123</v>
      </c>
      <c r="B51" s="14" t="s">
        <v>22</v>
      </c>
      <c r="C51" s="15">
        <v>33</v>
      </c>
      <c r="D51" s="4">
        <v>9</v>
      </c>
      <c r="E51" s="4">
        <v>48</v>
      </c>
      <c r="F51" s="49">
        <f t="shared" si="0"/>
        <v>5.333333333333333</v>
      </c>
      <c r="G51" s="50">
        <v>6</v>
      </c>
      <c r="H51" s="3">
        <v>3.5</v>
      </c>
      <c r="I51" s="3">
        <v>5</v>
      </c>
      <c r="J51" s="73">
        <v>4.1900000000000004</v>
      </c>
      <c r="K51" s="51">
        <v>851.25</v>
      </c>
      <c r="L51" s="51">
        <v>770.75</v>
      </c>
      <c r="M51" s="32">
        <v>802.56</v>
      </c>
    </row>
    <row r="52" spans="1:13" ht="21" customHeight="1">
      <c r="A52" s="55" t="s">
        <v>124</v>
      </c>
      <c r="B52" s="14" t="s">
        <v>12</v>
      </c>
      <c r="C52" s="15">
        <v>15</v>
      </c>
      <c r="D52" s="4">
        <v>3</v>
      </c>
      <c r="E52" s="4">
        <v>19</v>
      </c>
      <c r="F52" s="49">
        <f t="shared" si="0"/>
        <v>6.333333333333333</v>
      </c>
      <c r="G52" s="50">
        <v>7</v>
      </c>
      <c r="H52" s="3">
        <v>3.5</v>
      </c>
      <c r="I52" s="3">
        <v>3.67</v>
      </c>
      <c r="J52" s="73">
        <v>3.56</v>
      </c>
      <c r="K52" s="51">
        <v>833</v>
      </c>
      <c r="L52" s="51">
        <v>791</v>
      </c>
      <c r="M52" s="32">
        <v>805.17</v>
      </c>
    </row>
    <row r="53" spans="1:13" ht="21" customHeight="1">
      <c r="A53" s="55" t="s">
        <v>125</v>
      </c>
      <c r="B53" s="14" t="s">
        <v>13</v>
      </c>
      <c r="C53" s="15">
        <v>10</v>
      </c>
      <c r="D53" s="4">
        <v>2</v>
      </c>
      <c r="E53" s="4">
        <v>16</v>
      </c>
      <c r="F53" s="49">
        <f t="shared" si="0"/>
        <v>8</v>
      </c>
      <c r="G53" s="50">
        <v>11</v>
      </c>
      <c r="H53" s="7"/>
      <c r="I53" s="7"/>
      <c r="J53" s="73">
        <v>3.46</v>
      </c>
      <c r="K53" s="52"/>
      <c r="L53" s="52"/>
      <c r="M53" s="32">
        <v>768.25</v>
      </c>
    </row>
    <row r="54" spans="1:13" ht="21" customHeight="1" thickBot="1">
      <c r="A54" s="57" t="s">
        <v>126</v>
      </c>
      <c r="B54" s="58" t="s">
        <v>16</v>
      </c>
      <c r="C54" s="72">
        <v>15</v>
      </c>
      <c r="D54" s="59">
        <v>5</v>
      </c>
      <c r="E54" s="59">
        <v>11</v>
      </c>
      <c r="F54" s="60">
        <f t="shared" si="0"/>
        <v>2.2000000000000002</v>
      </c>
      <c r="G54" s="61">
        <v>6</v>
      </c>
      <c r="H54" s="62">
        <v>4.33</v>
      </c>
      <c r="I54" s="62">
        <v>7.75</v>
      </c>
      <c r="J54" s="75">
        <v>5.8</v>
      </c>
      <c r="K54" s="63">
        <v>700</v>
      </c>
      <c r="L54" s="63">
        <v>278.23</v>
      </c>
      <c r="M54" s="77">
        <v>506.05</v>
      </c>
    </row>
    <row r="55" spans="1:13" ht="27.95" customHeight="1" thickBot="1">
      <c r="A55" s="89" t="s">
        <v>40</v>
      </c>
      <c r="B55" s="90"/>
      <c r="C55" s="64">
        <f>SUM(C6:C54)</f>
        <v>1148</v>
      </c>
      <c r="D55" s="65">
        <f>SUM(D6:D54)</f>
        <v>323</v>
      </c>
      <c r="E55" s="66">
        <f>SUM(E6:E54)</f>
        <v>1005</v>
      </c>
      <c r="F55" s="67">
        <f t="shared" si="0"/>
        <v>3.1114551083591331</v>
      </c>
      <c r="G55" s="68"/>
      <c r="H55" s="69"/>
      <c r="I55" s="69"/>
      <c r="J55" s="69"/>
      <c r="K55" s="70"/>
      <c r="L55" s="70"/>
      <c r="M55" s="71"/>
    </row>
    <row r="56" spans="1:13" ht="30.75" customHeight="1">
      <c r="A56" s="56" t="s">
        <v>127</v>
      </c>
    </row>
  </sheetData>
  <mergeCells count="12">
    <mergeCell ref="A4:A5"/>
    <mergeCell ref="A55:B55"/>
    <mergeCell ref="A1:M1"/>
    <mergeCell ref="H4:J4"/>
    <mergeCell ref="K4:M4"/>
    <mergeCell ref="B4:B5"/>
    <mergeCell ref="C4:C5"/>
    <mergeCell ref="G4:G5"/>
    <mergeCell ref="E4:E5"/>
    <mergeCell ref="F4:F5"/>
    <mergeCell ref="D4:D5"/>
    <mergeCell ref="C46:C49"/>
  </mergeCells>
  <phoneticPr fontId="1" type="noConversion"/>
  <printOptions horizontalCentered="1"/>
  <pageMargins left="0.23622047244094491" right="0.23622047244094491" top="0.39370078740157483" bottom="0.27559055118110237" header="0.31496062992125984" footer="0.31496062992125984"/>
  <pageSetup paperSize="9" scale="64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2020 가군</vt:lpstr>
      <vt:lpstr>2020 다군</vt:lpstr>
      <vt:lpstr>'2020 가군'!Print_Titles</vt:lpstr>
      <vt:lpstr>'2020 다군'!Print_Titles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user</cp:lastModifiedBy>
  <cp:lastPrinted>2020-05-28T09:14:21Z</cp:lastPrinted>
  <dcterms:created xsi:type="dcterms:W3CDTF">2013-11-27T08:47:22Z</dcterms:created>
  <dcterms:modified xsi:type="dcterms:W3CDTF">2020-06-01T04:37:06Z</dcterms:modified>
</cp:coreProperties>
</file>